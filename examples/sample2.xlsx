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\GraphRAG\Test_Grouping_Excel\excel_region_grouping_lab\examples\"/>
    </mc:Choice>
  </mc:AlternateContent>
  <xr:revisionPtr revIDLastSave="0" documentId="8_{EB1318AF-9BC7-464D-8EF8-DBC8741D2766}" xr6:coauthVersionLast="47" xr6:coauthVersionMax="47" xr10:uidLastSave="{00000000-0000-0000-0000-000000000000}"/>
  <bookViews>
    <workbookView xWindow="2340" yWindow="2340" windowWidth="19860" windowHeight="18420" tabRatio="741" activeTab="25" xr2:uid="{00000000-000D-0000-FFFF-FFFF00000000}"/>
  </bookViews>
  <sheets>
    <sheet name="1a-Performance" sheetId="12" r:id="rId1"/>
    <sheet name="1b-Sub-Performance" sheetId="13" state="hidden" r:id="rId2"/>
    <sheet name="2a-Attribute Scales (1)" sheetId="15" state="hidden" r:id="rId3"/>
    <sheet name="2b-Attribute Scales (2)" sheetId="36" state="hidden" r:id="rId4"/>
    <sheet name="2c-Attribute Scales (3)" sheetId="14" state="hidden" r:id="rId5"/>
    <sheet name="2d-Attribute Scales (4)" sheetId="37" state="hidden" r:id="rId6"/>
    <sheet name="2e-Attribute Scales (5)" sheetId="38" state="hidden" r:id="rId7"/>
    <sheet name="3a-Attribute Rating(A)" sheetId="4" r:id="rId8"/>
    <sheet name="3b-Attribute Rating(B)" sheetId="3" state="hidden" r:id="rId9"/>
    <sheet name="3c-PCM#1" sheetId="5" r:id="rId10"/>
    <sheet name="3d-PCM#2" sheetId="39" state="hidden" r:id="rId11"/>
    <sheet name="3e-PCM#3" sheetId="40" state="hidden" r:id="rId12"/>
    <sheet name="3f-PCM#4" sheetId="41" state="hidden" r:id="rId13"/>
    <sheet name="3g-PCM#5" sheetId="42" state="hidden" r:id="rId14"/>
    <sheet name="3h-Qustionnaire" sheetId="6" state="hidden" r:id="rId15"/>
    <sheet name="4a-Rating Rationale (1)" sheetId="21" r:id="rId16"/>
    <sheet name="4b-Rating Rationale (2)" sheetId="20" r:id="rId17"/>
    <sheet name="4c-Rating Rationale (3)" sheetId="19" state="hidden" r:id="rId18"/>
    <sheet name="4d-Rating Rationale (4)" sheetId="27" state="hidden" r:id="rId19"/>
    <sheet name="5a-Initial Cost (1)" sheetId="25" r:id="rId20"/>
    <sheet name="5b-Initial Cost (2)" sheetId="28" state="hidden" r:id="rId21"/>
    <sheet name="5c-Life Cycle Cost (1)" sheetId="24" r:id="rId22"/>
    <sheet name="5d-Life Cycle Cost (2)" sheetId="30" state="hidden" r:id="rId23"/>
    <sheet name="5e-Cost Analysis" sheetId="35" state="hidden" r:id="rId24"/>
    <sheet name="6a-Hierarchy" sheetId="11" state="hidden" r:id="rId25"/>
    <sheet name="6b-Value Matrix" sheetId="22" r:id="rId26"/>
    <sheet name="6c-Proposal" sheetId="43" state="hidden" r:id="rId27"/>
  </sheets>
  <definedNames>
    <definedName name="_xlnm.Print_Area" localSheetId="0">'1a-Performance'!$A$1:$C$23</definedName>
    <definedName name="_xlnm.Print_Area" localSheetId="1">'1b-Sub-Performance'!$A$1:$B$50</definedName>
    <definedName name="_xlnm.Print_Area" localSheetId="7">'3a-Attribute Rating(A)'!$A$1:$P$21</definedName>
    <definedName name="_xlnm.Print_Area" localSheetId="14">'3h-Qustionnaire'!$A$1:$S$631</definedName>
    <definedName name="_xlnm.Print_Area" localSheetId="15">'4a-Rating Rationale (1)'!$A$1:$D$35</definedName>
    <definedName name="_xlnm.Print_Area" localSheetId="19">'5a-Initial Cost (1)'!$A$1:$H$36</definedName>
    <definedName name="_xlnm.Print_Area" localSheetId="21">'5c-Life Cycle Cost (1)'!$A$1:$I$38</definedName>
    <definedName name="_xlnm.Print_Area" localSheetId="25">'6b-Value Matrix'!$A$1:$N$53</definedName>
    <definedName name="_xlnm.Print_Titles" localSheetId="1">'1b-Sub-Performance'!$1:$2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24" l="1"/>
  <c r="F17" i="24"/>
  <c r="I8" i="24"/>
  <c r="H8" i="24"/>
  <c r="G20" i="25"/>
  <c r="D7" i="25"/>
  <c r="G15" i="24" l="1"/>
  <c r="AL15" i="22" l="1"/>
  <c r="G22" i="25" l="1"/>
  <c r="H22" i="25" s="1"/>
  <c r="G21" i="25"/>
  <c r="D8" i="25"/>
  <c r="D9" i="25"/>
  <c r="E9" i="25"/>
  <c r="E12" i="25"/>
  <c r="H25" i="25"/>
  <c r="H21" i="25" l="1"/>
  <c r="G23" i="25"/>
  <c r="H23" i="25" s="1"/>
  <c r="G24" i="25"/>
  <c r="H24" i="25" s="1"/>
  <c r="E8" i="25"/>
  <c r="D10" i="25"/>
  <c r="E10" i="25" s="1"/>
  <c r="D11" i="25"/>
  <c r="E11" i="25" s="1"/>
  <c r="E6" i="4"/>
  <c r="F6" i="4"/>
  <c r="G6" i="4"/>
  <c r="H6" i="4"/>
  <c r="I6" i="4"/>
  <c r="J6" i="4"/>
  <c r="F7" i="4"/>
  <c r="G7" i="4"/>
  <c r="H7" i="4"/>
  <c r="I7" i="4"/>
  <c r="J7" i="4"/>
  <c r="F8" i="4"/>
  <c r="G8" i="4"/>
  <c r="H8" i="4"/>
  <c r="I8" i="4"/>
  <c r="J8" i="4"/>
  <c r="G9" i="4"/>
  <c r="H9" i="4"/>
  <c r="I9" i="4"/>
  <c r="J9" i="4"/>
  <c r="H10" i="4"/>
  <c r="I10" i="4"/>
  <c r="J10" i="4"/>
  <c r="I11" i="4"/>
  <c r="J11" i="4"/>
  <c r="AH24" i="22" l="1"/>
  <c r="AE24" i="22"/>
  <c r="AB24" i="22"/>
  <c r="Y24" i="22"/>
  <c r="AH14" i="22"/>
  <c r="AH13" i="22"/>
  <c r="AH12" i="22"/>
  <c r="AH11" i="22"/>
  <c r="AH10" i="22"/>
  <c r="AH9" i="22"/>
  <c r="AH8" i="22"/>
  <c r="AH7" i="22"/>
  <c r="AH5" i="22"/>
  <c r="AE5" i="22"/>
  <c r="AE14" i="22"/>
  <c r="AE13" i="22"/>
  <c r="AE12" i="22"/>
  <c r="AE11" i="22"/>
  <c r="AE10" i="22"/>
  <c r="AE9" i="22"/>
  <c r="AE8" i="22"/>
  <c r="AE7" i="22"/>
  <c r="AB14" i="22"/>
  <c r="AN14" i="22" s="1"/>
  <c r="AB13" i="22"/>
  <c r="AN13" i="22" s="1"/>
  <c r="AB12" i="22"/>
  <c r="AN12" i="22" s="1"/>
  <c r="AB11" i="22"/>
  <c r="AN11" i="22" s="1"/>
  <c r="AB10" i="22"/>
  <c r="AN10" i="22" s="1"/>
  <c r="AB9" i="22"/>
  <c r="AN9" i="22" s="1"/>
  <c r="AB8" i="22"/>
  <c r="AN8" i="22" s="1"/>
  <c r="AB7" i="22"/>
  <c r="AN7" i="22" s="1"/>
  <c r="Y14" i="22"/>
  <c r="AM14" i="22" s="1"/>
  <c r="Y13" i="22"/>
  <c r="AM13" i="22" s="1"/>
  <c r="Y12" i="22"/>
  <c r="AM12" i="22" s="1"/>
  <c r="Y11" i="22"/>
  <c r="AM11" i="22" s="1"/>
  <c r="Y10" i="22"/>
  <c r="AM10" i="22" s="1"/>
  <c r="Y9" i="22"/>
  <c r="AM9" i="22" s="1"/>
  <c r="Y8" i="22"/>
  <c r="AM8" i="22" s="1"/>
  <c r="Y7" i="22"/>
  <c r="AM7" i="22" s="1"/>
  <c r="AB5" i="22"/>
  <c r="Y5" i="22"/>
  <c r="AM6" i="22" l="1"/>
  <c r="AR6" i="22" s="1"/>
  <c r="AM17" i="22"/>
  <c r="AN6" i="22"/>
  <c r="AS6" i="22" s="1"/>
  <c r="AN17" i="22"/>
  <c r="Y15" i="22"/>
  <c r="AM15" i="22" s="1"/>
  <c r="AB15" i="22"/>
  <c r="AN15" i="22" s="1"/>
  <c r="AH15" i="22"/>
  <c r="AE15" i="22"/>
  <c r="J12" i="4" l="1"/>
  <c r="I13" i="4" s="1"/>
  <c r="H13" i="4"/>
  <c r="H12" i="4"/>
  <c r="G12" i="4"/>
  <c r="G13" i="4"/>
  <c r="F12" i="4"/>
  <c r="F13" i="4"/>
  <c r="E12" i="4"/>
  <c r="E13" i="4"/>
  <c r="D12" i="4"/>
  <c r="D13" i="4"/>
  <c r="C12" i="4"/>
  <c r="C13" i="4"/>
  <c r="I13" i="5"/>
  <c r="H13" i="5"/>
  <c r="H12" i="5"/>
  <c r="G13" i="5"/>
  <c r="G12" i="5"/>
  <c r="F13" i="5"/>
  <c r="F12" i="5"/>
  <c r="E13" i="5"/>
  <c r="E12" i="5"/>
  <c r="D13" i="5"/>
  <c r="D12" i="5"/>
  <c r="C13" i="5"/>
  <c r="C12" i="5"/>
  <c r="C11" i="5"/>
  <c r="I4" i="15" l="1"/>
  <c r="H4" i="15"/>
  <c r="E4" i="15"/>
  <c r="D4" i="15"/>
  <c r="C4" i="15"/>
  <c r="B4" i="15"/>
  <c r="G11" i="5"/>
  <c r="G14" i="5" s="1"/>
  <c r="F11" i="5"/>
  <c r="E11" i="5"/>
  <c r="D11" i="5"/>
  <c r="F10" i="5"/>
  <c r="E10" i="5"/>
  <c r="D10" i="5"/>
  <c r="C10" i="5"/>
  <c r="E9" i="5"/>
  <c r="D9" i="5"/>
  <c r="C9" i="5"/>
  <c r="D8" i="5"/>
  <c r="D14" i="5" s="1"/>
  <c r="C8" i="5"/>
  <c r="L8" i="5" s="1"/>
  <c r="N8" i="5" s="1"/>
  <c r="C7" i="5"/>
  <c r="A34" i="28"/>
  <c r="A53" i="22"/>
  <c r="A52" i="22"/>
  <c r="P43" i="22" s="1"/>
  <c r="A51" i="22"/>
  <c r="P42" i="22" s="1"/>
  <c r="A50" i="22"/>
  <c r="P41" i="22" s="1"/>
  <c r="F4" i="28"/>
  <c r="C4" i="28"/>
  <c r="H12" i="24"/>
  <c r="H13" i="24" s="1"/>
  <c r="G4" i="15"/>
  <c r="G18" i="15" s="1"/>
  <c r="F4" i="15"/>
  <c r="F18" i="15" s="1"/>
  <c r="H25" i="28"/>
  <c r="E12" i="28"/>
  <c r="H11" i="24"/>
  <c r="I4" i="30"/>
  <c r="H4" i="30"/>
  <c r="I4" i="24"/>
  <c r="H4" i="24"/>
  <c r="F4" i="25"/>
  <c r="C4" i="25"/>
  <c r="P44" i="22"/>
  <c r="F51" i="22"/>
  <c r="G33" i="11"/>
  <c r="G36" i="11" s="1"/>
  <c r="F33" i="11"/>
  <c r="E33" i="11"/>
  <c r="E36" i="11" s="1"/>
  <c r="D33" i="11"/>
  <c r="D36" i="11" s="1"/>
  <c r="H8" i="35"/>
  <c r="H10" i="35" s="1"/>
  <c r="B2" i="35"/>
  <c r="A2" i="35"/>
  <c r="C2" i="30"/>
  <c r="B2" i="30"/>
  <c r="C2" i="24"/>
  <c r="B2" i="24"/>
  <c r="B2" i="28"/>
  <c r="A2" i="28"/>
  <c r="B2" i="25"/>
  <c r="A2" i="25"/>
  <c r="B2" i="27"/>
  <c r="A2" i="27"/>
  <c r="B2" i="19"/>
  <c r="A2" i="19"/>
  <c r="B2" i="20"/>
  <c r="A2" i="20"/>
  <c r="B2" i="21"/>
  <c r="A2" i="21"/>
  <c r="J14" i="42"/>
  <c r="M13" i="42"/>
  <c r="I13" i="42"/>
  <c r="H13" i="42"/>
  <c r="G13" i="42"/>
  <c r="F13" i="42"/>
  <c r="E13" i="42"/>
  <c r="D13" i="42"/>
  <c r="C13" i="42"/>
  <c r="L13" i="42"/>
  <c r="N13" i="42" s="1"/>
  <c r="M12" i="42"/>
  <c r="G12" i="42"/>
  <c r="F12" i="42"/>
  <c r="E12" i="42"/>
  <c r="D12" i="42"/>
  <c r="C12" i="42"/>
  <c r="M11" i="42"/>
  <c r="I11" i="42"/>
  <c r="H12" i="42" s="1"/>
  <c r="I14" i="42"/>
  <c r="G11" i="42"/>
  <c r="L11" i="42" s="1"/>
  <c r="N11" i="42" s="1"/>
  <c r="F11" i="42"/>
  <c r="E11" i="42"/>
  <c r="D11" i="42"/>
  <c r="C11" i="42"/>
  <c r="M10" i="42"/>
  <c r="F10" i="42"/>
  <c r="E10" i="42"/>
  <c r="D10" i="42"/>
  <c r="C10" i="42"/>
  <c r="L10" i="42" s="1"/>
  <c r="N10" i="42" s="1"/>
  <c r="M9" i="42"/>
  <c r="E9" i="42"/>
  <c r="E14" i="42" s="1"/>
  <c r="D9" i="42"/>
  <c r="C9" i="42"/>
  <c r="M8" i="42"/>
  <c r="D8" i="42"/>
  <c r="C8" i="42"/>
  <c r="M7" i="42"/>
  <c r="C7" i="42"/>
  <c r="L7" i="42" s="1"/>
  <c r="N7" i="42" s="1"/>
  <c r="M6" i="42"/>
  <c r="L6" i="42"/>
  <c r="N6" i="42"/>
  <c r="C2" i="42"/>
  <c r="A2" i="42"/>
  <c r="J14" i="41"/>
  <c r="M13" i="41"/>
  <c r="I13" i="41"/>
  <c r="H13" i="41"/>
  <c r="G13" i="41"/>
  <c r="F13" i="41"/>
  <c r="E13" i="41"/>
  <c r="D13" i="41"/>
  <c r="C13" i="41"/>
  <c r="M12" i="41"/>
  <c r="G12" i="41"/>
  <c r="F12" i="41"/>
  <c r="E12" i="41"/>
  <c r="D12" i="41"/>
  <c r="C12" i="41"/>
  <c r="M11" i="41"/>
  <c r="I11" i="41"/>
  <c r="H12" i="41" s="1"/>
  <c r="G11" i="41"/>
  <c r="F11" i="41"/>
  <c r="E11" i="41"/>
  <c r="D11" i="41"/>
  <c r="C11" i="41"/>
  <c r="M10" i="41"/>
  <c r="F10" i="41"/>
  <c r="E10" i="41"/>
  <c r="D10" i="41"/>
  <c r="C10" i="41"/>
  <c r="L10" i="41" s="1"/>
  <c r="N10" i="41" s="1"/>
  <c r="M9" i="41"/>
  <c r="E9" i="41"/>
  <c r="D9" i="41"/>
  <c r="C9" i="41"/>
  <c r="L9" i="41" s="1"/>
  <c r="N9" i="41" s="1"/>
  <c r="M8" i="41"/>
  <c r="D8" i="41"/>
  <c r="D14" i="41"/>
  <c r="C8" i="41"/>
  <c r="L8" i="41"/>
  <c r="N8" i="41" s="1"/>
  <c r="M7" i="41"/>
  <c r="C7" i="41"/>
  <c r="M6" i="41"/>
  <c r="L6" i="41"/>
  <c r="C2" i="41"/>
  <c r="A2" i="41"/>
  <c r="J14" i="40"/>
  <c r="M13" i="40"/>
  <c r="I13" i="40"/>
  <c r="H13" i="40"/>
  <c r="G13" i="40"/>
  <c r="F13" i="40"/>
  <c r="E13" i="40"/>
  <c r="D13" i="40"/>
  <c r="C13" i="40"/>
  <c r="M12" i="40"/>
  <c r="G12" i="40"/>
  <c r="F12" i="40"/>
  <c r="E12" i="40"/>
  <c r="D12" i="40"/>
  <c r="C12" i="40"/>
  <c r="M11" i="40"/>
  <c r="I11" i="40"/>
  <c r="H12" i="40" s="1"/>
  <c r="G11" i="40"/>
  <c r="F11" i="40"/>
  <c r="E11" i="40"/>
  <c r="D11" i="40"/>
  <c r="C11" i="40"/>
  <c r="L11" i="40"/>
  <c r="N11" i="40" s="1"/>
  <c r="M10" i="40"/>
  <c r="F10" i="40"/>
  <c r="F14" i="40" s="1"/>
  <c r="E10" i="40"/>
  <c r="E14" i="40" s="1"/>
  <c r="D10" i="40"/>
  <c r="C10" i="40"/>
  <c r="M9" i="40"/>
  <c r="E9" i="40"/>
  <c r="D9" i="40"/>
  <c r="C9" i="40"/>
  <c r="L9" i="40" s="1"/>
  <c r="N9" i="40" s="1"/>
  <c r="M8" i="40"/>
  <c r="D8" i="40"/>
  <c r="C8" i="40"/>
  <c r="M7" i="40"/>
  <c r="C7" i="40"/>
  <c r="L7" i="40" s="1"/>
  <c r="M6" i="40"/>
  <c r="L6" i="40"/>
  <c r="C2" i="40"/>
  <c r="A2" i="40"/>
  <c r="J14" i="39"/>
  <c r="M13" i="39"/>
  <c r="I13" i="39"/>
  <c r="H13" i="39"/>
  <c r="G13" i="39"/>
  <c r="F13" i="39"/>
  <c r="E13" i="39"/>
  <c r="D13" i="39"/>
  <c r="C13" i="39"/>
  <c r="L13" i="39" s="1"/>
  <c r="N13" i="39" s="1"/>
  <c r="M12" i="39"/>
  <c r="G12" i="39"/>
  <c r="F12" i="39"/>
  <c r="E12" i="39"/>
  <c r="D12" i="39"/>
  <c r="C12" i="39"/>
  <c r="M11" i="39"/>
  <c r="I11" i="39"/>
  <c r="G11" i="39"/>
  <c r="L11" i="39" s="1"/>
  <c r="N11" i="39" s="1"/>
  <c r="F11" i="39"/>
  <c r="E11" i="39"/>
  <c r="D11" i="39"/>
  <c r="C11" i="39"/>
  <c r="M10" i="39"/>
  <c r="F10" i="39"/>
  <c r="E10" i="39"/>
  <c r="D10" i="39"/>
  <c r="C10" i="39"/>
  <c r="L10" i="39" s="1"/>
  <c r="N10" i="39" s="1"/>
  <c r="M9" i="39"/>
  <c r="E9" i="39"/>
  <c r="E14" i="39" s="1"/>
  <c r="D9" i="39"/>
  <c r="C9" i="39"/>
  <c r="M8" i="39"/>
  <c r="D8" i="39"/>
  <c r="C8" i="39"/>
  <c r="M7" i="39"/>
  <c r="C7" i="39"/>
  <c r="M6" i="39"/>
  <c r="L6" i="39"/>
  <c r="N6" i="39"/>
  <c r="C2" i="39"/>
  <c r="A2" i="39"/>
  <c r="D11" i="4"/>
  <c r="E11" i="4"/>
  <c r="F11" i="4"/>
  <c r="D10" i="4"/>
  <c r="E10" i="4"/>
  <c r="F10" i="4"/>
  <c r="D9" i="4"/>
  <c r="E9" i="4"/>
  <c r="E7" i="4"/>
  <c r="C9" i="4"/>
  <c r="C10" i="4"/>
  <c r="C11" i="4"/>
  <c r="D6" i="4"/>
  <c r="C7" i="4" s="1"/>
  <c r="C2" i="5"/>
  <c r="A2" i="5"/>
  <c r="C2" i="3"/>
  <c r="A2" i="3"/>
  <c r="I18" i="38"/>
  <c r="H18" i="38"/>
  <c r="G18" i="38"/>
  <c r="F18" i="38"/>
  <c r="E18" i="38"/>
  <c r="D18" i="38"/>
  <c r="C18" i="38"/>
  <c r="B18" i="38"/>
  <c r="C2" i="38"/>
  <c r="A2" i="38"/>
  <c r="I18" i="37"/>
  <c r="H18" i="37"/>
  <c r="G18" i="37"/>
  <c r="F18" i="37"/>
  <c r="E18" i="37"/>
  <c r="D18" i="37"/>
  <c r="C18" i="37"/>
  <c r="B18" i="37"/>
  <c r="C2" i="37"/>
  <c r="A2" i="37"/>
  <c r="I18" i="36"/>
  <c r="H18" i="36"/>
  <c r="G18" i="36"/>
  <c r="F18" i="36"/>
  <c r="E18" i="36"/>
  <c r="D18" i="36"/>
  <c r="C18" i="36"/>
  <c r="B18" i="36"/>
  <c r="C2" i="36"/>
  <c r="A2" i="36"/>
  <c r="H20" i="25"/>
  <c r="E7" i="25"/>
  <c r="J14" i="5"/>
  <c r="I14" i="5"/>
  <c r="G11" i="4"/>
  <c r="D8" i="4"/>
  <c r="B2" i="22"/>
  <c r="B2" i="11"/>
  <c r="M4" i="35"/>
  <c r="L4" i="35"/>
  <c r="K4" i="35"/>
  <c r="J4" i="35"/>
  <c r="F4" i="35"/>
  <c r="E4" i="35"/>
  <c r="D4" i="35"/>
  <c r="C4" i="35"/>
  <c r="A8" i="35"/>
  <c r="M3" i="35" s="1"/>
  <c r="B2" i="6"/>
  <c r="C2" i="4"/>
  <c r="C2" i="14"/>
  <c r="C2" i="15"/>
  <c r="B2" i="13"/>
  <c r="M8" i="4"/>
  <c r="M10" i="4"/>
  <c r="M13" i="4"/>
  <c r="D4" i="30"/>
  <c r="G15" i="30" s="1"/>
  <c r="H15" i="30" s="1"/>
  <c r="D3" i="30"/>
  <c r="I11" i="30"/>
  <c r="I11" i="24"/>
  <c r="I12" i="24"/>
  <c r="I13" i="24" s="1"/>
  <c r="D5" i="35" s="1"/>
  <c r="H11" i="30"/>
  <c r="M17" i="24"/>
  <c r="AB18" i="22" s="1"/>
  <c r="N17" i="24"/>
  <c r="AE18" i="22" s="1"/>
  <c r="O17" i="24"/>
  <c r="AH18" i="22" s="1"/>
  <c r="O14" i="24"/>
  <c r="U14" i="24" s="1"/>
  <c r="N14" i="24"/>
  <c r="T14" i="24"/>
  <c r="M14" i="24"/>
  <c r="S14" i="24" s="1"/>
  <c r="L14" i="24"/>
  <c r="R14" i="24"/>
  <c r="G17" i="24"/>
  <c r="H17" i="24" s="1"/>
  <c r="G18" i="24"/>
  <c r="H18" i="24" s="1"/>
  <c r="G19" i="24"/>
  <c r="H19" i="24" s="1"/>
  <c r="G20" i="24"/>
  <c r="H20" i="24" s="1"/>
  <c r="G21" i="24"/>
  <c r="H21" i="24" s="1"/>
  <c r="G22" i="24"/>
  <c r="H22" i="24" s="1"/>
  <c r="G23" i="24"/>
  <c r="H23" i="24" s="1"/>
  <c r="G24" i="24"/>
  <c r="I24" i="24" s="1"/>
  <c r="G25" i="24"/>
  <c r="I25" i="24" s="1"/>
  <c r="G26" i="24"/>
  <c r="I26" i="24" s="1"/>
  <c r="G27" i="24"/>
  <c r="I27" i="24" s="1"/>
  <c r="G28" i="24"/>
  <c r="I28" i="24" s="1"/>
  <c r="G29" i="24"/>
  <c r="I29" i="24" s="1"/>
  <c r="G30" i="24"/>
  <c r="I30" i="24" s="1"/>
  <c r="L17" i="24"/>
  <c r="Y18" i="22" s="1"/>
  <c r="G16" i="24"/>
  <c r="H16" i="24" s="1"/>
  <c r="F21" i="11"/>
  <c r="F13" i="11"/>
  <c r="F9" i="11"/>
  <c r="B6" i="4"/>
  <c r="B6" i="42" s="1"/>
  <c r="B7" i="4"/>
  <c r="A8" i="21" s="1"/>
  <c r="B8" i="4"/>
  <c r="A12" i="21" s="1"/>
  <c r="B9" i="4"/>
  <c r="B9" i="42" s="1"/>
  <c r="B10" i="4"/>
  <c r="A20" i="21" s="1"/>
  <c r="B11" i="4"/>
  <c r="B11" i="42" s="1"/>
  <c r="B12" i="4"/>
  <c r="A28" i="21" s="1"/>
  <c r="B13" i="4"/>
  <c r="A32" i="21" s="1"/>
  <c r="A2" i="22"/>
  <c r="A6" i="22"/>
  <c r="W7" i="22" s="1"/>
  <c r="AL7" i="22" s="1"/>
  <c r="A10" i="22"/>
  <c r="W8" i="22" s="1"/>
  <c r="AL8" i="22" s="1"/>
  <c r="A14" i="22"/>
  <c r="A18" i="22"/>
  <c r="W10" i="22" s="1"/>
  <c r="AL10" i="22" s="1"/>
  <c r="A22" i="22"/>
  <c r="W11" i="22" s="1"/>
  <c r="AL11" i="22" s="1"/>
  <c r="A26" i="22"/>
  <c r="W12" i="22" s="1"/>
  <c r="AL12" i="22" s="1"/>
  <c r="A30" i="22"/>
  <c r="W13" i="22" s="1"/>
  <c r="AL13" i="22" s="1"/>
  <c r="A34" i="22"/>
  <c r="W14" i="22" s="1"/>
  <c r="AL14" i="22" s="1"/>
  <c r="A2" i="11"/>
  <c r="A5" i="11"/>
  <c r="B5" i="11"/>
  <c r="D5" i="11"/>
  <c r="D8" i="11"/>
  <c r="E6" i="22" s="1"/>
  <c r="E5" i="11"/>
  <c r="E8" i="11" s="1"/>
  <c r="D7" i="22" s="1"/>
  <c r="F5" i="11"/>
  <c r="F6" i="11"/>
  <c r="F7" i="11"/>
  <c r="G5" i="11"/>
  <c r="B6" i="11"/>
  <c r="D6" i="11"/>
  <c r="E6" i="11"/>
  <c r="E7" i="11"/>
  <c r="G6" i="11"/>
  <c r="G7" i="11"/>
  <c r="B7" i="11"/>
  <c r="D7" i="11"/>
  <c r="C8" i="11"/>
  <c r="B9" i="11"/>
  <c r="D9" i="11"/>
  <c r="E9" i="11"/>
  <c r="G9" i="11"/>
  <c r="B10" i="11"/>
  <c r="D10" i="11"/>
  <c r="D12" i="11"/>
  <c r="F10" i="22" s="1"/>
  <c r="E10" i="11"/>
  <c r="F10" i="11"/>
  <c r="G10" i="11"/>
  <c r="C12" i="11"/>
  <c r="B13" i="11"/>
  <c r="D13" i="11"/>
  <c r="D16" i="11" s="1"/>
  <c r="D14" i="11"/>
  <c r="E13" i="11"/>
  <c r="G13" i="11"/>
  <c r="B14" i="11"/>
  <c r="E14" i="11"/>
  <c r="E16" i="11" s="1"/>
  <c r="F14" i="11"/>
  <c r="F16" i="11"/>
  <c r="G14" i="11"/>
  <c r="C16" i="11"/>
  <c r="B17" i="11"/>
  <c r="D17" i="11"/>
  <c r="D20" i="11" s="1"/>
  <c r="J18" i="22" s="1"/>
  <c r="E17" i="11"/>
  <c r="F17" i="11"/>
  <c r="G17" i="11"/>
  <c r="B18" i="11"/>
  <c r="D18" i="11"/>
  <c r="E18" i="11"/>
  <c r="F18" i="11"/>
  <c r="G18" i="11"/>
  <c r="C20" i="11"/>
  <c r="B21" i="11"/>
  <c r="D21" i="11"/>
  <c r="D24" i="11" s="1"/>
  <c r="D22" i="11"/>
  <c r="E21" i="11"/>
  <c r="G21" i="11"/>
  <c r="B22" i="11"/>
  <c r="E22" i="11"/>
  <c r="F22" i="11"/>
  <c r="G22" i="11"/>
  <c r="G24" i="11" s="1"/>
  <c r="C24" i="11"/>
  <c r="B25" i="11"/>
  <c r="D25" i="11"/>
  <c r="E25" i="11"/>
  <c r="E28" i="11" s="1"/>
  <c r="E27" i="22" s="1"/>
  <c r="F25" i="11"/>
  <c r="F28" i="11" s="1"/>
  <c r="G25" i="11"/>
  <c r="B26" i="11"/>
  <c r="D26" i="11"/>
  <c r="E26" i="11"/>
  <c r="F26" i="11"/>
  <c r="G26" i="11"/>
  <c r="C28" i="11"/>
  <c r="A29" i="11"/>
  <c r="B29" i="11"/>
  <c r="D29" i="11"/>
  <c r="E29" i="11"/>
  <c r="E32" i="11" s="1"/>
  <c r="F29" i="11"/>
  <c r="F32" i="11" s="1"/>
  <c r="F30" i="11"/>
  <c r="G29" i="11"/>
  <c r="B30" i="11"/>
  <c r="D30" i="11"/>
  <c r="E30" i="11"/>
  <c r="G30" i="11"/>
  <c r="B33" i="11"/>
  <c r="B34" i="11"/>
  <c r="F36" i="11"/>
  <c r="M36" i="22" s="1"/>
  <c r="A4" i="27"/>
  <c r="A8" i="27"/>
  <c r="A12" i="27"/>
  <c r="A16" i="27"/>
  <c r="A20" i="27"/>
  <c r="A28" i="27"/>
  <c r="A4" i="19"/>
  <c r="A8" i="19"/>
  <c r="A12" i="19"/>
  <c r="A16" i="19"/>
  <c r="A20" i="19"/>
  <c r="A28" i="19"/>
  <c r="A28" i="20"/>
  <c r="A2" i="6"/>
  <c r="A5" i="6"/>
  <c r="S5" i="6"/>
  <c r="S6" i="6"/>
  <c r="S7" i="6"/>
  <c r="S8" i="6"/>
  <c r="S9" i="6"/>
  <c r="S10" i="6"/>
  <c r="S11" i="6"/>
  <c r="A12" i="6"/>
  <c r="S12" i="6"/>
  <c r="S13" i="6"/>
  <c r="S14" i="6"/>
  <c r="S15" i="6"/>
  <c r="S16" i="6"/>
  <c r="S17" i="6"/>
  <c r="A18" i="6"/>
  <c r="S18" i="6"/>
  <c r="S19" i="6"/>
  <c r="S20" i="6"/>
  <c r="S21" i="6"/>
  <c r="S22" i="6"/>
  <c r="A23" i="6"/>
  <c r="S23" i="6"/>
  <c r="S24" i="6"/>
  <c r="S25" i="6"/>
  <c r="S26" i="6"/>
  <c r="A27" i="6"/>
  <c r="S27" i="6"/>
  <c r="S28" i="6"/>
  <c r="S29" i="6"/>
  <c r="A30" i="6"/>
  <c r="S30" i="6"/>
  <c r="S31" i="6"/>
  <c r="A32" i="6"/>
  <c r="S32" i="6"/>
  <c r="B3" i="13"/>
  <c r="I34" i="6" s="1"/>
  <c r="A36" i="6"/>
  <c r="S36" i="6"/>
  <c r="S37" i="6"/>
  <c r="S38" i="6"/>
  <c r="S39" i="6"/>
  <c r="A40" i="6"/>
  <c r="S40" i="6"/>
  <c r="S41" i="6"/>
  <c r="S42" i="6"/>
  <c r="A43" i="6"/>
  <c r="S43" i="6"/>
  <c r="S44" i="6"/>
  <c r="A45" i="6"/>
  <c r="S45" i="6"/>
  <c r="B9" i="13"/>
  <c r="I47" i="6" s="1"/>
  <c r="A49" i="6"/>
  <c r="S49" i="6"/>
  <c r="S50" i="6"/>
  <c r="S51" i="6"/>
  <c r="S52" i="6"/>
  <c r="A53" i="6"/>
  <c r="S53" i="6"/>
  <c r="S54" i="6"/>
  <c r="S55" i="6"/>
  <c r="A56" i="6"/>
  <c r="S56" i="6"/>
  <c r="S57" i="6"/>
  <c r="A58" i="6"/>
  <c r="S58" i="6"/>
  <c r="B15" i="13"/>
  <c r="I60" i="6" s="1"/>
  <c r="A62" i="6"/>
  <c r="S62" i="6"/>
  <c r="S63" i="6"/>
  <c r="S64" i="6"/>
  <c r="S65" i="6"/>
  <c r="A66" i="6"/>
  <c r="S66" i="6"/>
  <c r="S67" i="6"/>
  <c r="S68" i="6"/>
  <c r="A69" i="6"/>
  <c r="S69" i="6"/>
  <c r="S70" i="6"/>
  <c r="A71" i="6"/>
  <c r="S71" i="6"/>
  <c r="B21" i="13"/>
  <c r="I73" i="6" s="1"/>
  <c r="A75" i="6"/>
  <c r="S75" i="6"/>
  <c r="S76" i="6"/>
  <c r="S77" i="6"/>
  <c r="S78" i="6"/>
  <c r="A79" i="6"/>
  <c r="S79" i="6"/>
  <c r="S80" i="6"/>
  <c r="S81" i="6"/>
  <c r="A82" i="6"/>
  <c r="S82" i="6"/>
  <c r="S83" i="6"/>
  <c r="A84" i="6"/>
  <c r="S84" i="6"/>
  <c r="B27" i="13"/>
  <c r="I86" i="6" s="1"/>
  <c r="A88" i="6"/>
  <c r="S88" i="6"/>
  <c r="S89" i="6"/>
  <c r="S90" i="6"/>
  <c r="S91" i="6"/>
  <c r="A92" i="6"/>
  <c r="S92" i="6"/>
  <c r="S93" i="6"/>
  <c r="S94" i="6"/>
  <c r="A95" i="6"/>
  <c r="S95" i="6"/>
  <c r="S96" i="6"/>
  <c r="A97" i="6"/>
  <c r="S97" i="6"/>
  <c r="B33" i="13"/>
  <c r="I99" i="6" s="1"/>
  <c r="A101" i="6"/>
  <c r="S101" i="6"/>
  <c r="S102" i="6"/>
  <c r="S103" i="6"/>
  <c r="S104" i="6"/>
  <c r="A105" i="6"/>
  <c r="S105" i="6"/>
  <c r="S106" i="6"/>
  <c r="S107" i="6"/>
  <c r="A108" i="6"/>
  <c r="S108" i="6"/>
  <c r="S109" i="6"/>
  <c r="A110" i="6"/>
  <c r="S110" i="6"/>
  <c r="B39" i="13"/>
  <c r="I112" i="6" s="1"/>
  <c r="A114" i="6"/>
  <c r="S114" i="6"/>
  <c r="S115" i="6"/>
  <c r="S116" i="6"/>
  <c r="S117" i="6"/>
  <c r="A118" i="6"/>
  <c r="S118" i="6"/>
  <c r="S119" i="6"/>
  <c r="S120" i="6"/>
  <c r="A121" i="6"/>
  <c r="S121" i="6"/>
  <c r="S122" i="6"/>
  <c r="A123" i="6"/>
  <c r="S123" i="6"/>
  <c r="B45" i="13"/>
  <c r="I125" i="6" s="1"/>
  <c r="A127" i="6"/>
  <c r="S127" i="6"/>
  <c r="S128" i="6"/>
  <c r="S129" i="6"/>
  <c r="S130" i="6"/>
  <c r="A131" i="6"/>
  <c r="S131" i="6"/>
  <c r="S132" i="6"/>
  <c r="S133" i="6"/>
  <c r="A134" i="6"/>
  <c r="S134" i="6"/>
  <c r="S135" i="6"/>
  <c r="A136" i="6"/>
  <c r="S136" i="6"/>
  <c r="I138" i="6"/>
  <c r="A140" i="6"/>
  <c r="S140" i="6"/>
  <c r="S141" i="6"/>
  <c r="S142" i="6"/>
  <c r="S143" i="6"/>
  <c r="A144" i="6"/>
  <c r="S144" i="6"/>
  <c r="S145" i="6"/>
  <c r="S146" i="6"/>
  <c r="A147" i="6"/>
  <c r="S147" i="6"/>
  <c r="S148" i="6"/>
  <c r="A149" i="6"/>
  <c r="S149" i="6"/>
  <c r="I151" i="6"/>
  <c r="A153" i="6"/>
  <c r="S153" i="6"/>
  <c r="S154" i="6"/>
  <c r="S155" i="6"/>
  <c r="S156" i="6"/>
  <c r="A157" i="6"/>
  <c r="S157" i="6"/>
  <c r="S158" i="6"/>
  <c r="S159" i="6"/>
  <c r="A160" i="6"/>
  <c r="S160" i="6"/>
  <c r="S161" i="6"/>
  <c r="A162" i="6"/>
  <c r="S162" i="6"/>
  <c r="I164" i="6"/>
  <c r="A166" i="6"/>
  <c r="S166" i="6"/>
  <c r="S167" i="6"/>
  <c r="S168" i="6"/>
  <c r="S169" i="6"/>
  <c r="A170" i="6"/>
  <c r="S170" i="6"/>
  <c r="S171" i="6"/>
  <c r="S172" i="6"/>
  <c r="A173" i="6"/>
  <c r="S173" i="6"/>
  <c r="S174" i="6"/>
  <c r="A175" i="6"/>
  <c r="S175" i="6"/>
  <c r="I177" i="6"/>
  <c r="A179" i="6"/>
  <c r="S179" i="6"/>
  <c r="S180" i="6"/>
  <c r="S181" i="6"/>
  <c r="S182" i="6"/>
  <c r="A183" i="6"/>
  <c r="S183" i="6"/>
  <c r="S184" i="6"/>
  <c r="S185" i="6"/>
  <c r="A186" i="6"/>
  <c r="S186" i="6"/>
  <c r="S187" i="6"/>
  <c r="A188" i="6"/>
  <c r="S188" i="6"/>
  <c r="I190" i="6"/>
  <c r="A192" i="6"/>
  <c r="S192" i="6"/>
  <c r="S193" i="6"/>
  <c r="S194" i="6"/>
  <c r="S195" i="6"/>
  <c r="A196" i="6"/>
  <c r="S196" i="6"/>
  <c r="S197" i="6"/>
  <c r="S198" i="6"/>
  <c r="A199" i="6"/>
  <c r="S199" i="6"/>
  <c r="S200" i="6"/>
  <c r="A201" i="6"/>
  <c r="S201" i="6"/>
  <c r="I203" i="6"/>
  <c r="A205" i="6"/>
  <c r="S205" i="6"/>
  <c r="S206" i="6"/>
  <c r="S207" i="6"/>
  <c r="S208" i="6"/>
  <c r="A209" i="6"/>
  <c r="S209" i="6"/>
  <c r="S210" i="6"/>
  <c r="S211" i="6"/>
  <c r="A212" i="6"/>
  <c r="S212" i="6"/>
  <c r="S213" i="6"/>
  <c r="A214" i="6"/>
  <c r="S214" i="6"/>
  <c r="I216" i="6"/>
  <c r="A218" i="6"/>
  <c r="S218" i="6"/>
  <c r="S219" i="6"/>
  <c r="S220" i="6"/>
  <c r="S221" i="6"/>
  <c r="A222" i="6"/>
  <c r="S222" i="6"/>
  <c r="S223" i="6"/>
  <c r="S224" i="6"/>
  <c r="A225" i="6"/>
  <c r="S225" i="6"/>
  <c r="S226" i="6"/>
  <c r="A227" i="6"/>
  <c r="S227" i="6"/>
  <c r="I229" i="6"/>
  <c r="A231" i="6"/>
  <c r="S231" i="6"/>
  <c r="S232" i="6"/>
  <c r="S233" i="6"/>
  <c r="S234" i="6"/>
  <c r="A235" i="6"/>
  <c r="S235" i="6"/>
  <c r="S236" i="6"/>
  <c r="S237" i="6"/>
  <c r="A238" i="6"/>
  <c r="S238" i="6"/>
  <c r="S239" i="6"/>
  <c r="A240" i="6"/>
  <c r="S240" i="6"/>
  <c r="I242" i="6"/>
  <c r="A244" i="6"/>
  <c r="S244" i="6"/>
  <c r="S245" i="6"/>
  <c r="S246" i="6"/>
  <c r="S247" i="6"/>
  <c r="A248" i="6"/>
  <c r="S248" i="6"/>
  <c r="S249" i="6"/>
  <c r="S250" i="6"/>
  <c r="A251" i="6"/>
  <c r="S251" i="6"/>
  <c r="S252" i="6"/>
  <c r="A253" i="6"/>
  <c r="S253" i="6"/>
  <c r="I255" i="6"/>
  <c r="A257" i="6"/>
  <c r="S257" i="6"/>
  <c r="S258" i="6"/>
  <c r="S259" i="6"/>
  <c r="S260" i="6"/>
  <c r="A261" i="6"/>
  <c r="S261" i="6"/>
  <c r="S262" i="6"/>
  <c r="S263" i="6"/>
  <c r="A264" i="6"/>
  <c r="S264" i="6"/>
  <c r="S265" i="6"/>
  <c r="A266" i="6"/>
  <c r="S266" i="6"/>
  <c r="I268" i="6"/>
  <c r="A270" i="6"/>
  <c r="S270" i="6"/>
  <c r="S271" i="6"/>
  <c r="S272" i="6"/>
  <c r="S273" i="6"/>
  <c r="A274" i="6"/>
  <c r="S274" i="6"/>
  <c r="S275" i="6"/>
  <c r="S276" i="6"/>
  <c r="A277" i="6"/>
  <c r="S277" i="6"/>
  <c r="S278" i="6"/>
  <c r="A279" i="6"/>
  <c r="S279" i="6"/>
  <c r="I281" i="6"/>
  <c r="A283" i="6"/>
  <c r="S283" i="6"/>
  <c r="S284" i="6"/>
  <c r="S285" i="6"/>
  <c r="S286" i="6"/>
  <c r="A287" i="6"/>
  <c r="S287" i="6"/>
  <c r="S288" i="6"/>
  <c r="S289" i="6"/>
  <c r="A290" i="6"/>
  <c r="S290" i="6"/>
  <c r="S291" i="6"/>
  <c r="A292" i="6"/>
  <c r="S292" i="6"/>
  <c r="I294" i="6"/>
  <c r="A296" i="6"/>
  <c r="S296" i="6"/>
  <c r="S297" i="6"/>
  <c r="S298" i="6"/>
  <c r="S299" i="6"/>
  <c r="A300" i="6"/>
  <c r="S300" i="6"/>
  <c r="S301" i="6"/>
  <c r="S302" i="6"/>
  <c r="A303" i="6"/>
  <c r="S303" i="6"/>
  <c r="S304" i="6"/>
  <c r="A305" i="6"/>
  <c r="S305" i="6"/>
  <c r="I307" i="6"/>
  <c r="A309" i="6"/>
  <c r="S309" i="6"/>
  <c r="S310" i="6"/>
  <c r="S311" i="6"/>
  <c r="S312" i="6"/>
  <c r="A313" i="6"/>
  <c r="S313" i="6"/>
  <c r="S314" i="6"/>
  <c r="S315" i="6"/>
  <c r="A316" i="6"/>
  <c r="S316" i="6"/>
  <c r="S317" i="6"/>
  <c r="A318" i="6"/>
  <c r="S318" i="6"/>
  <c r="I320" i="6"/>
  <c r="A322" i="6"/>
  <c r="S322" i="6"/>
  <c r="S323" i="6"/>
  <c r="S324" i="6"/>
  <c r="S325" i="6"/>
  <c r="A326" i="6"/>
  <c r="S326" i="6"/>
  <c r="S327" i="6"/>
  <c r="S328" i="6"/>
  <c r="A329" i="6"/>
  <c r="S329" i="6"/>
  <c r="S330" i="6"/>
  <c r="A331" i="6"/>
  <c r="S331" i="6"/>
  <c r="I333" i="6"/>
  <c r="A335" i="6"/>
  <c r="S335" i="6"/>
  <c r="S336" i="6"/>
  <c r="S337" i="6"/>
  <c r="S338" i="6"/>
  <c r="A339" i="6"/>
  <c r="S339" i="6"/>
  <c r="S340" i="6"/>
  <c r="S341" i="6"/>
  <c r="A342" i="6"/>
  <c r="S342" i="6"/>
  <c r="S343" i="6"/>
  <c r="A344" i="6"/>
  <c r="S344" i="6"/>
  <c r="I346" i="6"/>
  <c r="A348" i="6"/>
  <c r="S348" i="6"/>
  <c r="S349" i="6"/>
  <c r="S350" i="6"/>
  <c r="S351" i="6"/>
  <c r="A352" i="6"/>
  <c r="S352" i="6"/>
  <c r="S353" i="6"/>
  <c r="S354" i="6"/>
  <c r="A355" i="6"/>
  <c r="S355" i="6"/>
  <c r="S356" i="6"/>
  <c r="A357" i="6"/>
  <c r="S357" i="6"/>
  <c r="I359" i="6"/>
  <c r="A361" i="6"/>
  <c r="S361" i="6"/>
  <c r="S362" i="6"/>
  <c r="S363" i="6"/>
  <c r="S364" i="6"/>
  <c r="A365" i="6"/>
  <c r="S365" i="6"/>
  <c r="S366" i="6"/>
  <c r="S367" i="6"/>
  <c r="A368" i="6"/>
  <c r="S368" i="6"/>
  <c r="S369" i="6"/>
  <c r="A370" i="6"/>
  <c r="S370" i="6"/>
  <c r="I372" i="6"/>
  <c r="A374" i="6"/>
  <c r="S374" i="6"/>
  <c r="S375" i="6"/>
  <c r="S376" i="6"/>
  <c r="S377" i="6"/>
  <c r="A378" i="6"/>
  <c r="S378" i="6"/>
  <c r="S379" i="6"/>
  <c r="S380" i="6"/>
  <c r="A381" i="6"/>
  <c r="S381" i="6"/>
  <c r="S382" i="6"/>
  <c r="A383" i="6"/>
  <c r="S383" i="6"/>
  <c r="I385" i="6"/>
  <c r="A387" i="6"/>
  <c r="S387" i="6"/>
  <c r="S388" i="6"/>
  <c r="S389" i="6"/>
  <c r="S390" i="6"/>
  <c r="A391" i="6"/>
  <c r="S391" i="6"/>
  <c r="S392" i="6"/>
  <c r="S393" i="6"/>
  <c r="A394" i="6"/>
  <c r="S394" i="6"/>
  <c r="S395" i="6"/>
  <c r="A396" i="6"/>
  <c r="S396" i="6"/>
  <c r="I398" i="6"/>
  <c r="A400" i="6"/>
  <c r="S400" i="6"/>
  <c r="S401" i="6"/>
  <c r="S402" i="6"/>
  <c r="S403" i="6"/>
  <c r="A404" i="6"/>
  <c r="S404" i="6"/>
  <c r="S405" i="6"/>
  <c r="S406" i="6"/>
  <c r="A407" i="6"/>
  <c r="S407" i="6"/>
  <c r="S408" i="6"/>
  <c r="A409" i="6"/>
  <c r="S409" i="6"/>
  <c r="I411" i="6"/>
  <c r="A413" i="6"/>
  <c r="S413" i="6"/>
  <c r="S414" i="6"/>
  <c r="S415" i="6"/>
  <c r="S416" i="6"/>
  <c r="A417" i="6"/>
  <c r="S417" i="6"/>
  <c r="S418" i="6"/>
  <c r="S419" i="6"/>
  <c r="A420" i="6"/>
  <c r="S420" i="6"/>
  <c r="S421" i="6"/>
  <c r="A422" i="6"/>
  <c r="S422" i="6"/>
  <c r="I424" i="6"/>
  <c r="A426" i="6"/>
  <c r="S426" i="6"/>
  <c r="S427" i="6"/>
  <c r="S428" i="6"/>
  <c r="S429" i="6"/>
  <c r="A430" i="6"/>
  <c r="S430" i="6"/>
  <c r="S431" i="6"/>
  <c r="S432" i="6"/>
  <c r="A433" i="6"/>
  <c r="S433" i="6"/>
  <c r="S434" i="6"/>
  <c r="A435" i="6"/>
  <c r="S435" i="6"/>
  <c r="I437" i="6"/>
  <c r="A439" i="6"/>
  <c r="S439" i="6"/>
  <c r="S440" i="6"/>
  <c r="S441" i="6"/>
  <c r="S442" i="6"/>
  <c r="A443" i="6"/>
  <c r="S443" i="6"/>
  <c r="S444" i="6"/>
  <c r="S445" i="6"/>
  <c r="A446" i="6"/>
  <c r="S446" i="6"/>
  <c r="S447" i="6"/>
  <c r="A448" i="6"/>
  <c r="S448" i="6"/>
  <c r="I450" i="6"/>
  <c r="A452" i="6"/>
  <c r="S452" i="6"/>
  <c r="S453" i="6"/>
  <c r="S454" i="6"/>
  <c r="S455" i="6"/>
  <c r="A456" i="6"/>
  <c r="S456" i="6"/>
  <c r="S457" i="6"/>
  <c r="S458" i="6"/>
  <c r="A459" i="6"/>
  <c r="S459" i="6"/>
  <c r="S460" i="6"/>
  <c r="A461" i="6"/>
  <c r="S461" i="6"/>
  <c r="I463" i="6"/>
  <c r="A465" i="6"/>
  <c r="S465" i="6"/>
  <c r="S466" i="6"/>
  <c r="S467" i="6"/>
  <c r="S468" i="6"/>
  <c r="A469" i="6"/>
  <c r="S469" i="6"/>
  <c r="S470" i="6"/>
  <c r="S471" i="6"/>
  <c r="A472" i="6"/>
  <c r="S472" i="6"/>
  <c r="S473" i="6"/>
  <c r="A474" i="6"/>
  <c r="S474" i="6"/>
  <c r="I476" i="6"/>
  <c r="A478" i="6"/>
  <c r="S478" i="6"/>
  <c r="S479" i="6"/>
  <c r="S480" i="6"/>
  <c r="S481" i="6"/>
  <c r="A482" i="6"/>
  <c r="S482" i="6"/>
  <c r="S483" i="6"/>
  <c r="S484" i="6"/>
  <c r="A485" i="6"/>
  <c r="S485" i="6"/>
  <c r="S486" i="6"/>
  <c r="A487" i="6"/>
  <c r="S487" i="6"/>
  <c r="I489" i="6"/>
  <c r="A491" i="6"/>
  <c r="S491" i="6"/>
  <c r="S492" i="6"/>
  <c r="S493" i="6"/>
  <c r="S494" i="6"/>
  <c r="A495" i="6"/>
  <c r="S495" i="6"/>
  <c r="S496" i="6"/>
  <c r="S497" i="6"/>
  <c r="A498" i="6"/>
  <c r="S498" i="6"/>
  <c r="S499" i="6"/>
  <c r="A500" i="6"/>
  <c r="S500" i="6"/>
  <c r="I502" i="6"/>
  <c r="A504" i="6"/>
  <c r="S504" i="6"/>
  <c r="S505" i="6"/>
  <c r="S506" i="6"/>
  <c r="S507" i="6"/>
  <c r="A508" i="6"/>
  <c r="S508" i="6"/>
  <c r="S509" i="6"/>
  <c r="S510" i="6"/>
  <c r="A511" i="6"/>
  <c r="S511" i="6"/>
  <c r="S512" i="6"/>
  <c r="A513" i="6"/>
  <c r="S513" i="6"/>
  <c r="I515" i="6"/>
  <c r="A517" i="6"/>
  <c r="S517" i="6"/>
  <c r="S518" i="6"/>
  <c r="S519" i="6"/>
  <c r="S520" i="6"/>
  <c r="A521" i="6"/>
  <c r="S521" i="6"/>
  <c r="S522" i="6"/>
  <c r="S523" i="6"/>
  <c r="A524" i="6"/>
  <c r="S524" i="6"/>
  <c r="S525" i="6"/>
  <c r="A526" i="6"/>
  <c r="S526" i="6"/>
  <c r="I528" i="6"/>
  <c r="A530" i="6"/>
  <c r="S530" i="6"/>
  <c r="S531" i="6"/>
  <c r="S532" i="6"/>
  <c r="S533" i="6"/>
  <c r="A534" i="6"/>
  <c r="S534" i="6"/>
  <c r="S535" i="6"/>
  <c r="S536" i="6"/>
  <c r="A537" i="6"/>
  <c r="S537" i="6"/>
  <c r="S538" i="6"/>
  <c r="A539" i="6"/>
  <c r="S539" i="6"/>
  <c r="I541" i="6"/>
  <c r="A543" i="6"/>
  <c r="S543" i="6"/>
  <c r="S544" i="6"/>
  <c r="S545" i="6"/>
  <c r="S546" i="6"/>
  <c r="A547" i="6"/>
  <c r="S547" i="6"/>
  <c r="S548" i="6"/>
  <c r="S549" i="6"/>
  <c r="A550" i="6"/>
  <c r="S550" i="6"/>
  <c r="S551" i="6"/>
  <c r="A552" i="6"/>
  <c r="S552" i="6"/>
  <c r="I554" i="6"/>
  <c r="A556" i="6"/>
  <c r="S556" i="6"/>
  <c r="S557" i="6"/>
  <c r="S558" i="6"/>
  <c r="S559" i="6"/>
  <c r="A560" i="6"/>
  <c r="S560" i="6"/>
  <c r="S561" i="6"/>
  <c r="S562" i="6"/>
  <c r="A563" i="6"/>
  <c r="S563" i="6"/>
  <c r="S564" i="6"/>
  <c r="A565" i="6"/>
  <c r="S565" i="6"/>
  <c r="I567" i="6"/>
  <c r="A569" i="6"/>
  <c r="S569" i="6"/>
  <c r="S570" i="6"/>
  <c r="S571" i="6"/>
  <c r="S572" i="6"/>
  <c r="A573" i="6"/>
  <c r="S573" i="6"/>
  <c r="S574" i="6"/>
  <c r="S575" i="6"/>
  <c r="A576" i="6"/>
  <c r="S576" i="6"/>
  <c r="S577" i="6"/>
  <c r="A578" i="6"/>
  <c r="S578" i="6"/>
  <c r="I580" i="6"/>
  <c r="A582" i="6"/>
  <c r="S582" i="6"/>
  <c r="S583" i="6"/>
  <c r="S584" i="6"/>
  <c r="S585" i="6"/>
  <c r="A586" i="6"/>
  <c r="S586" i="6"/>
  <c r="S587" i="6"/>
  <c r="S588" i="6"/>
  <c r="A589" i="6"/>
  <c r="S589" i="6"/>
  <c r="S590" i="6"/>
  <c r="A591" i="6"/>
  <c r="S591" i="6"/>
  <c r="I593" i="6"/>
  <c r="A595" i="6"/>
  <c r="S595" i="6"/>
  <c r="S596" i="6"/>
  <c r="S597" i="6"/>
  <c r="S598" i="6"/>
  <c r="A599" i="6"/>
  <c r="S599" i="6"/>
  <c r="S600" i="6"/>
  <c r="S601" i="6"/>
  <c r="A602" i="6"/>
  <c r="S602" i="6"/>
  <c r="S603" i="6"/>
  <c r="A604" i="6"/>
  <c r="S604" i="6"/>
  <c r="I606" i="6"/>
  <c r="A608" i="6"/>
  <c r="S608" i="6"/>
  <c r="S609" i="6"/>
  <c r="S610" i="6"/>
  <c r="S611" i="6"/>
  <c r="A612" i="6"/>
  <c r="S612" i="6"/>
  <c r="S613" i="6"/>
  <c r="S614" i="6"/>
  <c r="A615" i="6"/>
  <c r="S615" i="6"/>
  <c r="S616" i="6"/>
  <c r="A617" i="6"/>
  <c r="S617" i="6"/>
  <c r="I619" i="6"/>
  <c r="A621" i="6"/>
  <c r="S621" i="6"/>
  <c r="S622" i="6"/>
  <c r="S623" i="6"/>
  <c r="S624" i="6"/>
  <c r="A625" i="6"/>
  <c r="S625" i="6"/>
  <c r="S626" i="6"/>
  <c r="S627" i="6"/>
  <c r="A628" i="6"/>
  <c r="S628" i="6"/>
  <c r="S629" i="6"/>
  <c r="A630" i="6"/>
  <c r="S630" i="6"/>
  <c r="I632" i="6"/>
  <c r="A634" i="6"/>
  <c r="S634" i="6"/>
  <c r="S635" i="6"/>
  <c r="S636" i="6"/>
  <c r="S637" i="6"/>
  <c r="A638" i="6"/>
  <c r="S638" i="6"/>
  <c r="S639" i="6"/>
  <c r="S640" i="6"/>
  <c r="A641" i="6"/>
  <c r="S641" i="6"/>
  <c r="S642" i="6"/>
  <c r="A643" i="6"/>
  <c r="S643" i="6"/>
  <c r="I645" i="6"/>
  <c r="A647" i="6"/>
  <c r="S647" i="6"/>
  <c r="S648" i="6"/>
  <c r="S649" i="6"/>
  <c r="S650" i="6"/>
  <c r="A651" i="6"/>
  <c r="S651" i="6"/>
  <c r="S652" i="6"/>
  <c r="S653" i="6"/>
  <c r="A654" i="6"/>
  <c r="S654" i="6"/>
  <c r="S655" i="6"/>
  <c r="A656" i="6"/>
  <c r="S656" i="6"/>
  <c r="B6" i="5"/>
  <c r="L6" i="5"/>
  <c r="M6" i="5"/>
  <c r="B7" i="5"/>
  <c r="M7" i="5"/>
  <c r="B8" i="5"/>
  <c r="M8" i="5"/>
  <c r="M9" i="5"/>
  <c r="M10" i="5"/>
  <c r="M11" i="5"/>
  <c r="B12" i="5"/>
  <c r="L12" i="5"/>
  <c r="M12" i="5"/>
  <c r="L13" i="5"/>
  <c r="M13" i="5"/>
  <c r="B12" i="3"/>
  <c r="B22" i="3" s="1"/>
  <c r="M16" i="3"/>
  <c r="M17" i="3"/>
  <c r="M18" i="3"/>
  <c r="M19" i="3"/>
  <c r="M20" i="3"/>
  <c r="M21" i="3"/>
  <c r="A2" i="4"/>
  <c r="B24" i="4"/>
  <c r="B25" i="4"/>
  <c r="B26" i="4"/>
  <c r="B28" i="4"/>
  <c r="B30" i="4"/>
  <c r="A2" i="14"/>
  <c r="B18" i="14"/>
  <c r="C18" i="14"/>
  <c r="D18" i="14"/>
  <c r="E18" i="14"/>
  <c r="F18" i="14"/>
  <c r="G18" i="14"/>
  <c r="H18" i="14"/>
  <c r="I18" i="14"/>
  <c r="A2" i="15"/>
  <c r="B18" i="15"/>
  <c r="C18" i="15"/>
  <c r="D18" i="15"/>
  <c r="E18" i="15"/>
  <c r="H18" i="15"/>
  <c r="I18" i="15"/>
  <c r="A2" i="13"/>
  <c r="H14" i="5"/>
  <c r="D32" i="11"/>
  <c r="D30" i="22" s="1"/>
  <c r="G12" i="11"/>
  <c r="D13" i="22" s="1"/>
  <c r="G20" i="11"/>
  <c r="E21" i="22" s="1"/>
  <c r="G32" i="11"/>
  <c r="E33" i="22" s="1"/>
  <c r="E12" i="11"/>
  <c r="E11" i="22" s="1"/>
  <c r="E20" i="11"/>
  <c r="G19" i="22" s="1"/>
  <c r="F12" i="11"/>
  <c r="E12" i="22" s="1"/>
  <c r="F20" i="11"/>
  <c r="F24" i="11"/>
  <c r="G24" i="22" s="1"/>
  <c r="E24" i="11"/>
  <c r="G8" i="11"/>
  <c r="D9" i="22" s="1"/>
  <c r="A6" i="35"/>
  <c r="B6" i="35" s="1"/>
  <c r="A10" i="35"/>
  <c r="B10" i="35" s="1"/>
  <c r="A33" i="11"/>
  <c r="A32" i="20"/>
  <c r="B13" i="5"/>
  <c r="B13" i="3"/>
  <c r="B23" i="3" s="1"/>
  <c r="B31" i="4"/>
  <c r="A16" i="20"/>
  <c r="B9" i="5"/>
  <c r="B27" i="4"/>
  <c r="A24" i="19"/>
  <c r="A24" i="27"/>
  <c r="J14" i="4"/>
  <c r="H14" i="4"/>
  <c r="G21" i="30"/>
  <c r="H21" i="30" s="1"/>
  <c r="G20" i="30"/>
  <c r="H20" i="30" s="1"/>
  <c r="G19" i="30"/>
  <c r="H19" i="30" s="1"/>
  <c r="G16" i="30"/>
  <c r="H16" i="30" s="1"/>
  <c r="I12" i="30"/>
  <c r="I13" i="30" s="1"/>
  <c r="D30" i="4"/>
  <c r="G31" i="4"/>
  <c r="G25" i="4"/>
  <c r="E29" i="4"/>
  <c r="D29" i="4"/>
  <c r="G26" i="4"/>
  <c r="G27" i="4"/>
  <c r="F26" i="4"/>
  <c r="D27" i="4"/>
  <c r="E30" i="4"/>
  <c r="D26" i="4"/>
  <c r="D25" i="4"/>
  <c r="G30" i="4"/>
  <c r="G29" i="4"/>
  <c r="G28" i="4"/>
  <c r="F28" i="4"/>
  <c r="F27" i="4"/>
  <c r="G24" i="4"/>
  <c r="G32" i="4" s="1"/>
  <c r="D31" i="4"/>
  <c r="D28" i="4"/>
  <c r="F31" i="4"/>
  <c r="E27" i="4"/>
  <c r="E31" i="4"/>
  <c r="E25" i="4"/>
  <c r="E28" i="4"/>
  <c r="F30" i="4"/>
  <c r="F25" i="4"/>
  <c r="F29" i="4"/>
  <c r="E26" i="4"/>
  <c r="E24" i="4"/>
  <c r="E32" i="4" s="1"/>
  <c r="D24" i="4"/>
  <c r="D32" i="4" s="1"/>
  <c r="F24" i="4"/>
  <c r="F32" i="4" s="1"/>
  <c r="A32" i="19"/>
  <c r="T17" i="24"/>
  <c r="G18" i="30"/>
  <c r="H18" i="30" s="1"/>
  <c r="G17" i="30"/>
  <c r="H17" i="30" s="1"/>
  <c r="G30" i="30"/>
  <c r="I30" i="30" s="1"/>
  <c r="G29" i="30"/>
  <c r="I29" i="30" s="1"/>
  <c r="G28" i="30"/>
  <c r="I28" i="30" s="1"/>
  <c r="G27" i="30"/>
  <c r="I27" i="30" s="1"/>
  <c r="G26" i="30"/>
  <c r="I26" i="30" s="1"/>
  <c r="G25" i="30"/>
  <c r="I25" i="30" s="1"/>
  <c r="G24" i="30"/>
  <c r="I24" i="30" s="1"/>
  <c r="G23" i="30"/>
  <c r="H23" i="30" s="1"/>
  <c r="G22" i="30"/>
  <c r="H22" i="30" s="1"/>
  <c r="I33" i="22"/>
  <c r="J13" i="22"/>
  <c r="B13" i="39"/>
  <c r="B13" i="40"/>
  <c r="A32" i="27"/>
  <c r="B13" i="41"/>
  <c r="B13" i="42"/>
  <c r="B8" i="41"/>
  <c r="B8" i="42"/>
  <c r="I14" i="40"/>
  <c r="L7" i="39"/>
  <c r="N7" i="39" s="1"/>
  <c r="L12" i="4"/>
  <c r="H13" i="22"/>
  <c r="L13" i="22"/>
  <c r="K33" i="22"/>
  <c r="D33" i="22"/>
  <c r="H12" i="30"/>
  <c r="H13" i="30" s="1"/>
  <c r="G14" i="4"/>
  <c r="L13" i="4"/>
  <c r="N13" i="4" s="1"/>
  <c r="I14" i="4"/>
  <c r="B12" i="40"/>
  <c r="B12" i="39"/>
  <c r="B12" i="41"/>
  <c r="B12" i="42"/>
  <c r="B6" i="39"/>
  <c r="B7" i="39"/>
  <c r="B9" i="39"/>
  <c r="B7" i="42"/>
  <c r="A16" i="21"/>
  <c r="B11" i="39"/>
  <c r="B11" i="40"/>
  <c r="B11" i="41"/>
  <c r="K9" i="22"/>
  <c r="L9" i="22"/>
  <c r="G9" i="22"/>
  <c r="D36" i="22"/>
  <c r="E36" i="22"/>
  <c r="F36" i="22"/>
  <c r="E7" i="28"/>
  <c r="D8" i="28"/>
  <c r="D9" i="28"/>
  <c r="E9" i="28" s="1"/>
  <c r="J11" i="22"/>
  <c r="G11" i="22"/>
  <c r="I30" i="22"/>
  <c r="G30" i="22"/>
  <c r="H30" i="22"/>
  <c r="L30" i="22"/>
  <c r="F14" i="5"/>
  <c r="L10" i="5"/>
  <c r="E32" i="25"/>
  <c r="E33" i="25" s="1"/>
  <c r="G15" i="22"/>
  <c r="F15" i="22"/>
  <c r="L7" i="5" l="1"/>
  <c r="N7" i="5" s="1"/>
  <c r="C14" i="5"/>
  <c r="E25" i="22"/>
  <c r="K25" i="22"/>
  <c r="F25" i="22"/>
  <c r="L25" i="22"/>
  <c r="H25" i="22"/>
  <c r="G25" i="22"/>
  <c r="I25" i="22"/>
  <c r="D25" i="22"/>
  <c r="C5" i="35"/>
  <c r="J5" i="35"/>
  <c r="D22" i="22"/>
  <c r="I22" i="22"/>
  <c r="H22" i="22"/>
  <c r="F22" i="22"/>
  <c r="J22" i="22"/>
  <c r="K22" i="22"/>
  <c r="M22" i="22"/>
  <c r="E22" i="22"/>
  <c r="M18" i="22"/>
  <c r="D23" i="22"/>
  <c r="G23" i="22"/>
  <c r="L13" i="41"/>
  <c r="N13" i="41" s="1"/>
  <c r="D34" i="22"/>
  <c r="E34" i="22"/>
  <c r="G34" i="22"/>
  <c r="K34" i="22"/>
  <c r="J34" i="22"/>
  <c r="I34" i="22"/>
  <c r="M34" i="22"/>
  <c r="L34" i="22"/>
  <c r="H12" i="39"/>
  <c r="I14" i="39"/>
  <c r="G16" i="22"/>
  <c r="D16" i="22"/>
  <c r="H16" i="22"/>
  <c r="L16" i="22"/>
  <c r="F16" i="22"/>
  <c r="I16" i="22"/>
  <c r="K16" i="22"/>
  <c r="E16" i="22"/>
  <c r="M16" i="22"/>
  <c r="J16" i="22"/>
  <c r="F34" i="22"/>
  <c r="D15" i="22"/>
  <c r="L15" i="22"/>
  <c r="I15" i="22"/>
  <c r="K15" i="22"/>
  <c r="H15" i="22"/>
  <c r="G16" i="11"/>
  <c r="D28" i="11"/>
  <c r="E14" i="22"/>
  <c r="M14" i="22"/>
  <c r="F14" i="22"/>
  <c r="J14" i="22"/>
  <c r="I14" i="22"/>
  <c r="L14" i="22"/>
  <c r="G14" i="22"/>
  <c r="K14" i="22"/>
  <c r="D24" i="22"/>
  <c r="F24" i="22"/>
  <c r="K24" i="22"/>
  <c r="H24" i="22"/>
  <c r="E24" i="22"/>
  <c r="I24" i="22"/>
  <c r="M24" i="22"/>
  <c r="L24" i="22"/>
  <c r="L10" i="40"/>
  <c r="N10" i="40" s="1"/>
  <c r="C14" i="40"/>
  <c r="C14" i="41"/>
  <c r="L7" i="41"/>
  <c r="N7" i="41" s="1"/>
  <c r="E20" i="22"/>
  <c r="H20" i="22"/>
  <c r="L20" i="22"/>
  <c r="F20" i="22"/>
  <c r="M20" i="22"/>
  <c r="K20" i="22"/>
  <c r="I20" i="22"/>
  <c r="J20" i="22"/>
  <c r="G20" i="22"/>
  <c r="D20" i="22"/>
  <c r="K32" i="22"/>
  <c r="J32" i="22"/>
  <c r="D32" i="22"/>
  <c r="F32" i="22"/>
  <c r="M32" i="22"/>
  <c r="I32" i="22"/>
  <c r="H32" i="22"/>
  <c r="E32" i="22"/>
  <c r="L32" i="22"/>
  <c r="G32" i="22"/>
  <c r="K31" i="22"/>
  <c r="I31" i="22"/>
  <c r="G31" i="22"/>
  <c r="M31" i="22"/>
  <c r="H31" i="22"/>
  <c r="E31" i="22"/>
  <c r="F31" i="22"/>
  <c r="D18" i="22"/>
  <c r="K18" i="22"/>
  <c r="E18" i="22"/>
  <c r="I18" i="22"/>
  <c r="H18" i="22"/>
  <c r="G18" i="22"/>
  <c r="F18" i="22"/>
  <c r="H34" i="22"/>
  <c r="L37" i="22"/>
  <c r="E37" i="22"/>
  <c r="G37" i="22"/>
  <c r="I37" i="22"/>
  <c r="K37" i="22"/>
  <c r="M37" i="22"/>
  <c r="F37" i="22"/>
  <c r="D37" i="22"/>
  <c r="F8" i="11"/>
  <c r="H23" i="22"/>
  <c r="J37" i="22"/>
  <c r="J24" i="22"/>
  <c r="H37" i="22"/>
  <c r="M6" i="22"/>
  <c r="G14" i="41"/>
  <c r="M10" i="22"/>
  <c r="J33" i="22"/>
  <c r="H9" i="35"/>
  <c r="I9" i="35" s="1"/>
  <c r="D10" i="22"/>
  <c r="B8" i="39"/>
  <c r="F14" i="39"/>
  <c r="F14" i="42"/>
  <c r="M9" i="22"/>
  <c r="I21" i="22"/>
  <c r="B11" i="5"/>
  <c r="A4" i="21"/>
  <c r="G10" i="22"/>
  <c r="F9" i="22"/>
  <c r="E10" i="22"/>
  <c r="I9" i="22"/>
  <c r="K21" i="22"/>
  <c r="B10" i="5"/>
  <c r="D12" i="22"/>
  <c r="J10" i="22"/>
  <c r="E9" i="22"/>
  <c r="A12" i="20"/>
  <c r="A17" i="11"/>
  <c r="L12" i="22"/>
  <c r="I10" i="22"/>
  <c r="J9" i="22"/>
  <c r="A8" i="20"/>
  <c r="D6" i="22"/>
  <c r="H10" i="22"/>
  <c r="L33" i="22"/>
  <c r="H7" i="35"/>
  <c r="L10" i="22"/>
  <c r="B8" i="40"/>
  <c r="H6" i="35"/>
  <c r="I6" i="35" s="1"/>
  <c r="K10" i="22"/>
  <c r="I13" i="22"/>
  <c r="D14" i="40"/>
  <c r="G21" i="22"/>
  <c r="A20" i="20"/>
  <c r="G28" i="11"/>
  <c r="H11" i="22"/>
  <c r="H9" i="22"/>
  <c r="R17" i="24"/>
  <c r="A4" i="20"/>
  <c r="B10" i="41"/>
  <c r="B29" i="4"/>
  <c r="B9" i="41"/>
  <c r="I14" i="41"/>
  <c r="M33" i="22"/>
  <c r="F6" i="22"/>
  <c r="L36" i="22"/>
  <c r="B6" i="41"/>
  <c r="F33" i="22"/>
  <c r="L9" i="42"/>
  <c r="N9" i="42" s="1"/>
  <c r="O9" i="42" s="1"/>
  <c r="A25" i="11"/>
  <c r="D14" i="39"/>
  <c r="D14" i="42"/>
  <c r="B10" i="42"/>
  <c r="E14" i="41"/>
  <c r="G33" i="22"/>
  <c r="G6" i="22"/>
  <c r="F21" i="22"/>
  <c r="K13" i="22"/>
  <c r="H33" i="22"/>
  <c r="G12" i="22"/>
  <c r="I6" i="22"/>
  <c r="J36" i="22"/>
  <c r="B9" i="40"/>
  <c r="G13" i="22"/>
  <c r="M30" i="22"/>
  <c r="H21" i="22"/>
  <c r="U17" i="24"/>
  <c r="B9" i="3"/>
  <c r="B19" i="3" s="1"/>
  <c r="A9" i="35"/>
  <c r="B9" i="35" s="1"/>
  <c r="A24" i="20"/>
  <c r="K36" i="22"/>
  <c r="L21" i="22"/>
  <c r="H6" i="22"/>
  <c r="A21" i="11"/>
  <c r="A24" i="21"/>
  <c r="M12" i="22"/>
  <c r="A13" i="11"/>
  <c r="B11" i="3"/>
  <c r="B21" i="3" s="1"/>
  <c r="K6" i="22"/>
  <c r="B7" i="41"/>
  <c r="J21" i="22"/>
  <c r="F12" i="22"/>
  <c r="K12" i="22"/>
  <c r="J6" i="22"/>
  <c r="B10" i="40"/>
  <c r="B10" i="3"/>
  <c r="B20" i="3" s="1"/>
  <c r="I36" i="22"/>
  <c r="B7" i="40"/>
  <c r="M21" i="22"/>
  <c r="J12" i="22"/>
  <c r="D21" i="22"/>
  <c r="S17" i="24"/>
  <c r="B8" i="3"/>
  <c r="B18" i="3" s="1"/>
  <c r="L9" i="39"/>
  <c r="N9" i="39" s="1"/>
  <c r="N14" i="39" s="1"/>
  <c r="L11" i="22"/>
  <c r="L6" i="22"/>
  <c r="H36" i="22"/>
  <c r="B6" i="40"/>
  <c r="M13" i="22"/>
  <c r="E30" i="22"/>
  <c r="H12" i="22"/>
  <c r="A7" i="35"/>
  <c r="B7" i="35" s="1"/>
  <c r="B7" i="3"/>
  <c r="B17" i="3" s="1"/>
  <c r="G36" i="22"/>
  <c r="B10" i="39"/>
  <c r="E13" i="22"/>
  <c r="F13" i="22"/>
  <c r="I12" i="22"/>
  <c r="B8" i="35"/>
  <c r="D8" i="35" s="1"/>
  <c r="B6" i="3"/>
  <c r="B16" i="3" s="1"/>
  <c r="L13" i="40"/>
  <c r="N13" i="40" s="1"/>
  <c r="M35" i="22"/>
  <c r="D35" i="22"/>
  <c r="F35" i="22"/>
  <c r="H35" i="22"/>
  <c r="J35" i="22"/>
  <c r="L35" i="22"/>
  <c r="E35" i="22"/>
  <c r="G35" i="22"/>
  <c r="I35" i="22"/>
  <c r="K35" i="22"/>
  <c r="D19" i="22"/>
  <c r="J19" i="22"/>
  <c r="I19" i="22"/>
  <c r="E19" i="22"/>
  <c r="H19" i="22"/>
  <c r="M19" i="22"/>
  <c r="L19" i="22"/>
  <c r="K19" i="22"/>
  <c r="F19" i="22"/>
  <c r="M15" i="22"/>
  <c r="I7" i="22"/>
  <c r="E7" i="22"/>
  <c r="M7" i="22"/>
  <c r="K7" i="22"/>
  <c r="G7" i="22"/>
  <c r="J7" i="22"/>
  <c r="L7" i="22"/>
  <c r="F7" i="22"/>
  <c r="H7" i="22"/>
  <c r="I11" i="22"/>
  <c r="K11" i="22"/>
  <c r="L31" i="22"/>
  <c r="K27" i="22"/>
  <c r="F27" i="22"/>
  <c r="J27" i="22"/>
  <c r="H27" i="22"/>
  <c r="M27" i="22"/>
  <c r="L27" i="22"/>
  <c r="D27" i="22"/>
  <c r="I27" i="22"/>
  <c r="G27" i="22"/>
  <c r="E14" i="5"/>
  <c r="L9" i="5"/>
  <c r="N9" i="5" s="1"/>
  <c r="W9" i="22"/>
  <c r="AL9" i="22" s="1"/>
  <c r="L11" i="5"/>
  <c r="I23" i="22"/>
  <c r="J23" i="22"/>
  <c r="E23" i="22"/>
  <c r="F23" i="22"/>
  <c r="M23" i="22"/>
  <c r="K23" i="22"/>
  <c r="L23" i="22"/>
  <c r="E15" i="22"/>
  <c r="F11" i="22"/>
  <c r="D11" i="22"/>
  <c r="M11" i="22"/>
  <c r="N12" i="5"/>
  <c r="N6" i="5"/>
  <c r="N10" i="5"/>
  <c r="J31" i="22"/>
  <c r="D31" i="22"/>
  <c r="K30" i="22"/>
  <c r="F30" i="22"/>
  <c r="L6" i="4"/>
  <c r="I7" i="35"/>
  <c r="J7" i="35" s="1"/>
  <c r="I10" i="35"/>
  <c r="J10" i="35" s="1"/>
  <c r="I8" i="35"/>
  <c r="J8" i="35" s="1"/>
  <c r="L9" i="4"/>
  <c r="D14" i="4"/>
  <c r="L12" i="41"/>
  <c r="N12" i="41" s="1"/>
  <c r="H14" i="41"/>
  <c r="H14" i="42"/>
  <c r="L12" i="42"/>
  <c r="N12" i="42" s="1"/>
  <c r="C6" i="35"/>
  <c r="D10" i="28"/>
  <c r="E10" i="28" s="1"/>
  <c r="C10" i="35"/>
  <c r="N13" i="5"/>
  <c r="A9" i="11"/>
  <c r="H34" i="24"/>
  <c r="H35" i="24" s="1"/>
  <c r="L16" i="24" s="1"/>
  <c r="Y17" i="22" s="1"/>
  <c r="AM19" i="22" s="1"/>
  <c r="M11" i="4"/>
  <c r="M9" i="4"/>
  <c r="M6" i="4"/>
  <c r="M12" i="4"/>
  <c r="N12" i="4" s="1"/>
  <c r="M7" i="4"/>
  <c r="L7" i="4"/>
  <c r="C14" i="39"/>
  <c r="L8" i="39"/>
  <c r="N8" i="39" s="1"/>
  <c r="G14" i="39"/>
  <c r="N6" i="40"/>
  <c r="N7" i="40"/>
  <c r="L8" i="40"/>
  <c r="N8" i="40" s="1"/>
  <c r="G14" i="40"/>
  <c r="N6" i="41"/>
  <c r="F14" i="41"/>
  <c r="L11" i="41"/>
  <c r="N11" i="41" s="1"/>
  <c r="C14" i="42"/>
  <c r="L8" i="42"/>
  <c r="N8" i="42" s="1"/>
  <c r="O8" i="42" s="1"/>
  <c r="G14" i="42"/>
  <c r="N11" i="5"/>
  <c r="N14" i="42"/>
  <c r="O6" i="42" s="1"/>
  <c r="M5" i="35"/>
  <c r="O16" i="24"/>
  <c r="AH17" i="22" s="1"/>
  <c r="F5" i="35"/>
  <c r="F7" i="35" s="1"/>
  <c r="I29" i="22"/>
  <c r="G29" i="22"/>
  <c r="L29" i="22"/>
  <c r="M29" i="22"/>
  <c r="K29" i="22"/>
  <c r="F29" i="22"/>
  <c r="D29" i="22"/>
  <c r="E29" i="22"/>
  <c r="J29" i="22"/>
  <c r="H29" i="22"/>
  <c r="L12" i="39"/>
  <c r="N12" i="39" s="1"/>
  <c r="H14" i="39"/>
  <c r="L12" i="40"/>
  <c r="N12" i="40" s="1"/>
  <c r="H14" i="40"/>
  <c r="H32" i="25"/>
  <c r="I34" i="24"/>
  <c r="I35" i="24" s="1"/>
  <c r="M16" i="24" s="1"/>
  <c r="AB17" i="22" s="1"/>
  <c r="AN19" i="22" s="1"/>
  <c r="D6" i="35"/>
  <c r="D10" i="35"/>
  <c r="N14" i="40"/>
  <c r="O9" i="40" s="1"/>
  <c r="N14" i="41"/>
  <c r="O12" i="41" s="1"/>
  <c r="E34" i="25"/>
  <c r="E35" i="25" s="1"/>
  <c r="O12" i="42"/>
  <c r="E14" i="4"/>
  <c r="L10" i="4"/>
  <c r="N10" i="4" s="1"/>
  <c r="E8" i="28"/>
  <c r="K5" i="35"/>
  <c r="J25" i="22"/>
  <c r="M25" i="22"/>
  <c r="D14" i="22"/>
  <c r="J15" i="22"/>
  <c r="J30" i="22"/>
  <c r="D9" i="35"/>
  <c r="G28" i="22"/>
  <c r="M28" i="22"/>
  <c r="D28" i="22"/>
  <c r="J28" i="22"/>
  <c r="K28" i="22"/>
  <c r="H28" i="22"/>
  <c r="L28" i="22"/>
  <c r="F28" i="22"/>
  <c r="E28" i="22"/>
  <c r="I28" i="22"/>
  <c r="G21" i="28"/>
  <c r="H21" i="28" s="1"/>
  <c r="G22" i="28"/>
  <c r="H22" i="28" s="1"/>
  <c r="H20" i="28"/>
  <c r="H34" i="30"/>
  <c r="H35" i="30" s="1"/>
  <c r="N16" i="24" s="1"/>
  <c r="AE17" i="22" s="1"/>
  <c r="E5" i="35"/>
  <c r="L5" i="35"/>
  <c r="I34" i="30"/>
  <c r="I35" i="30" s="1"/>
  <c r="L11" i="4"/>
  <c r="F14" i="4"/>
  <c r="D11" i="28"/>
  <c r="E11" i="28" s="1"/>
  <c r="D7" i="35"/>
  <c r="G22" i="22"/>
  <c r="H14" i="22"/>
  <c r="L18" i="22"/>
  <c r="L22" i="22"/>
  <c r="C8" i="4"/>
  <c r="O6" i="39" l="1"/>
  <c r="O10" i="39"/>
  <c r="J6" i="35"/>
  <c r="K6" i="35"/>
  <c r="M6" i="35"/>
  <c r="J9" i="35"/>
  <c r="K9" i="35"/>
  <c r="E32" i="28"/>
  <c r="E33" i="28" s="1"/>
  <c r="E34" i="28" s="1"/>
  <c r="E35" i="28" s="1"/>
  <c r="O10" i="42"/>
  <c r="N11" i="4"/>
  <c r="O9" i="41"/>
  <c r="P9" i="41" s="1"/>
  <c r="O8" i="40"/>
  <c r="P8" i="40" s="1"/>
  <c r="K8" i="22"/>
  <c r="F8" i="22"/>
  <c r="H8" i="22"/>
  <c r="M8" i="22"/>
  <c r="L8" i="22"/>
  <c r="E8" i="22"/>
  <c r="I8" i="22"/>
  <c r="J8" i="22"/>
  <c r="G8" i="22"/>
  <c r="D8" i="22"/>
  <c r="K10" i="35"/>
  <c r="O13" i="42"/>
  <c r="Q13" i="42" s="1"/>
  <c r="D17" i="22"/>
  <c r="E17" i="22"/>
  <c r="G17" i="22"/>
  <c r="K17" i="22"/>
  <c r="J17" i="22"/>
  <c r="F17" i="22"/>
  <c r="L17" i="22"/>
  <c r="I17" i="22"/>
  <c r="M17" i="22"/>
  <c r="H17" i="22"/>
  <c r="I26" i="22"/>
  <c r="G26" i="22"/>
  <c r="M26" i="22"/>
  <c r="L26" i="22"/>
  <c r="J26" i="22"/>
  <c r="H26" i="22"/>
  <c r="F26" i="22"/>
  <c r="D26" i="22"/>
  <c r="K8" i="35"/>
  <c r="K7" i="35"/>
  <c r="F9" i="35"/>
  <c r="C7" i="35"/>
  <c r="C8" i="35"/>
  <c r="O11" i="42"/>
  <c r="P11" i="42" s="1"/>
  <c r="C9" i="35"/>
  <c r="E26" i="22"/>
  <c r="K26" i="22"/>
  <c r="N6" i="4"/>
  <c r="N14" i="5"/>
  <c r="O10" i="5" s="1"/>
  <c r="P10" i="5" s="1"/>
  <c r="C28" i="4" s="1"/>
  <c r="J28" i="4" s="1"/>
  <c r="U16" i="24"/>
  <c r="O8" i="41"/>
  <c r="Q8" i="41" s="1"/>
  <c r="O13" i="39"/>
  <c r="P13" i="39" s="1"/>
  <c r="N7" i="4"/>
  <c r="N9" i="4"/>
  <c r="O11" i="41"/>
  <c r="P11" i="41" s="1"/>
  <c r="O10" i="40"/>
  <c r="O7" i="40"/>
  <c r="O8" i="39"/>
  <c r="P8" i="39" s="1"/>
  <c r="O6" i="41"/>
  <c r="C17" i="41" s="1"/>
  <c r="C18" i="41" s="1"/>
  <c r="C19" i="41" s="1"/>
  <c r="F19" i="41" s="1"/>
  <c r="O6" i="40"/>
  <c r="C17" i="40" s="1"/>
  <c r="C18" i="40" s="1"/>
  <c r="C19" i="40" s="1"/>
  <c r="F19" i="40" s="1"/>
  <c r="O7" i="39"/>
  <c r="O13" i="41"/>
  <c r="O11" i="40"/>
  <c r="O9" i="39"/>
  <c r="O7" i="41"/>
  <c r="P9" i="40"/>
  <c r="P8" i="42"/>
  <c r="P10" i="39"/>
  <c r="P9" i="42"/>
  <c r="H5" i="24"/>
  <c r="P12" i="41"/>
  <c r="P6" i="39"/>
  <c r="H33" i="25"/>
  <c r="H34" i="25" s="1"/>
  <c r="H35" i="25" s="1"/>
  <c r="G23" i="28"/>
  <c r="H23" i="28" s="1"/>
  <c r="O10" i="41"/>
  <c r="O13" i="40"/>
  <c r="O11" i="39"/>
  <c r="O12" i="40"/>
  <c r="O12" i="39"/>
  <c r="O7" i="42"/>
  <c r="Q9" i="42" s="1"/>
  <c r="O7" i="5"/>
  <c r="P10" i="42"/>
  <c r="P10" i="40"/>
  <c r="P7" i="40"/>
  <c r="P12" i="42"/>
  <c r="P7" i="39"/>
  <c r="P13" i="41"/>
  <c r="P11" i="40"/>
  <c r="P9" i="39"/>
  <c r="P7" i="41"/>
  <c r="F6" i="35"/>
  <c r="M9" i="35"/>
  <c r="F8" i="35"/>
  <c r="M8" i="35"/>
  <c r="F10" i="35"/>
  <c r="M10" i="35"/>
  <c r="M7" i="35"/>
  <c r="P6" i="42"/>
  <c r="L8" i="4"/>
  <c r="N8" i="4" s="1"/>
  <c r="C14" i="4"/>
  <c r="G24" i="28"/>
  <c r="H24" i="28" s="1"/>
  <c r="E8" i="35"/>
  <c r="L8" i="35"/>
  <c r="L6" i="35"/>
  <c r="L9" i="35"/>
  <c r="E7" i="35"/>
  <c r="L7" i="35"/>
  <c r="L10" i="35"/>
  <c r="E6" i="35"/>
  <c r="E9" i="35"/>
  <c r="E10" i="35"/>
  <c r="T16" i="24"/>
  <c r="R16" i="24"/>
  <c r="S16" i="24"/>
  <c r="Q7" i="40" l="1"/>
  <c r="Q11" i="41"/>
  <c r="Q12" i="41"/>
  <c r="P8" i="41"/>
  <c r="Q10" i="40"/>
  <c r="Q9" i="39"/>
  <c r="Q13" i="39"/>
  <c r="Q11" i="40"/>
  <c r="O14" i="40"/>
  <c r="H32" i="28"/>
  <c r="Q6" i="42"/>
  <c r="P6" i="41"/>
  <c r="O14" i="42"/>
  <c r="Q8" i="39"/>
  <c r="Q7" i="41"/>
  <c r="Q13" i="41"/>
  <c r="P13" i="42"/>
  <c r="Q7" i="39"/>
  <c r="P6" i="40"/>
  <c r="P14" i="40" s="1"/>
  <c r="Q6" i="40"/>
  <c r="C17" i="42"/>
  <c r="C18" i="42" s="1"/>
  <c r="C19" i="42" s="1"/>
  <c r="F19" i="42" s="1"/>
  <c r="Q12" i="42"/>
  <c r="O13" i="5"/>
  <c r="P13" i="5" s="1"/>
  <c r="C31" i="4" s="1"/>
  <c r="J31" i="4" s="1"/>
  <c r="O8" i="5"/>
  <c r="P8" i="5" s="1"/>
  <c r="C26" i="4" s="1"/>
  <c r="J26" i="4" s="1"/>
  <c r="O12" i="5"/>
  <c r="P12" i="5" s="1"/>
  <c r="C30" i="4" s="1"/>
  <c r="J30" i="4" s="1"/>
  <c r="O6" i="5"/>
  <c r="P6" i="5" s="1"/>
  <c r="O9" i="5"/>
  <c r="P9" i="5" s="1"/>
  <c r="C27" i="4" s="1"/>
  <c r="J27" i="4" s="1"/>
  <c r="O11" i="5"/>
  <c r="P11" i="5" s="1"/>
  <c r="C29" i="4" s="1"/>
  <c r="J29" i="4" s="1"/>
  <c r="Q10" i="42"/>
  <c r="Q10" i="39"/>
  <c r="Q11" i="42"/>
  <c r="I5" i="24"/>
  <c r="I6" i="24" s="1"/>
  <c r="H36" i="25"/>
  <c r="P7" i="42"/>
  <c r="Q7" i="42"/>
  <c r="P12" i="40"/>
  <c r="Q12" i="40"/>
  <c r="P13" i="40"/>
  <c r="Q13" i="40"/>
  <c r="H37" i="24"/>
  <c r="L15" i="24"/>
  <c r="Q6" i="41"/>
  <c r="O14" i="41"/>
  <c r="Q6" i="39"/>
  <c r="Q8" i="40"/>
  <c r="Q8" i="42"/>
  <c r="Q9" i="40"/>
  <c r="P7" i="5"/>
  <c r="C25" i="4" s="1"/>
  <c r="J25" i="4" s="1"/>
  <c r="P12" i="39"/>
  <c r="Q12" i="39"/>
  <c r="Q11" i="39"/>
  <c r="P11" i="39"/>
  <c r="Q10" i="41"/>
  <c r="P10" i="41"/>
  <c r="P14" i="41" s="1"/>
  <c r="P14" i="42"/>
  <c r="O14" i="39"/>
  <c r="C17" i="39"/>
  <c r="C18" i="39" s="1"/>
  <c r="C19" i="39" s="1"/>
  <c r="F19" i="39" s="1"/>
  <c r="Q9" i="41"/>
  <c r="H5" i="30"/>
  <c r="E36" i="28"/>
  <c r="H6" i="30"/>
  <c r="H33" i="28"/>
  <c r="H34" i="28" s="1"/>
  <c r="H35" i="28" s="1"/>
  <c r="N14" i="4"/>
  <c r="O8" i="4" s="1"/>
  <c r="L18" i="24" l="1"/>
  <c r="Y19" i="22" s="1"/>
  <c r="AM20" i="22" s="1"/>
  <c r="Y16" i="22"/>
  <c r="AM18" i="22" s="1"/>
  <c r="Q11" i="5"/>
  <c r="C11" i="3" s="1"/>
  <c r="L11" i="3" s="1"/>
  <c r="N11" i="3" s="1"/>
  <c r="O11" i="3" s="1"/>
  <c r="P11" i="3" s="1"/>
  <c r="C17" i="5"/>
  <c r="C18" i="5" s="1"/>
  <c r="C19" i="5" s="1"/>
  <c r="F19" i="5" s="1"/>
  <c r="Q13" i="5"/>
  <c r="Q12" i="5"/>
  <c r="Q7" i="5"/>
  <c r="C7" i="3" s="1"/>
  <c r="L7" i="3" s="1"/>
  <c r="N7" i="3" s="1"/>
  <c r="O7" i="3" s="1"/>
  <c r="H17" i="3" s="1"/>
  <c r="D21" i="3" s="1"/>
  <c r="Q9" i="5"/>
  <c r="C9" i="3" s="1"/>
  <c r="L9" i="3" s="1"/>
  <c r="N9" i="3" s="1"/>
  <c r="O9" i="3" s="1"/>
  <c r="Q6" i="5"/>
  <c r="C6" i="3" s="1"/>
  <c r="L6" i="3" s="1"/>
  <c r="N6" i="3" s="1"/>
  <c r="O6" i="3" s="1"/>
  <c r="H16" i="3" s="1"/>
  <c r="O14" i="5"/>
  <c r="Q8" i="5"/>
  <c r="C8" i="3" s="1"/>
  <c r="L8" i="3" s="1"/>
  <c r="N8" i="3" s="1"/>
  <c r="O8" i="3" s="1"/>
  <c r="E17" i="3" s="1"/>
  <c r="D18" i="3" s="1"/>
  <c r="Q10" i="5"/>
  <c r="C10" i="3" s="1"/>
  <c r="P8" i="4"/>
  <c r="B14" i="22" s="1"/>
  <c r="X9" i="22" s="1"/>
  <c r="P14" i="5"/>
  <c r="P14" i="39"/>
  <c r="C24" i="4"/>
  <c r="T41" i="22"/>
  <c r="J50" i="22" s="1"/>
  <c r="M15" i="24"/>
  <c r="I37" i="24"/>
  <c r="O15" i="24"/>
  <c r="AH16" i="22" s="1"/>
  <c r="H36" i="28"/>
  <c r="I5" i="30"/>
  <c r="O13" i="4"/>
  <c r="P13" i="4" s="1"/>
  <c r="B34" i="22" s="1"/>
  <c r="X14" i="22" s="1"/>
  <c r="O12" i="4"/>
  <c r="P12" i="4" s="1"/>
  <c r="B30" i="22" s="1"/>
  <c r="X13" i="22" s="1"/>
  <c r="O9" i="4"/>
  <c r="O7" i="4"/>
  <c r="P7" i="4" s="1"/>
  <c r="B10" i="22" s="1"/>
  <c r="X8" i="22" s="1"/>
  <c r="O10" i="4"/>
  <c r="P10" i="4" s="1"/>
  <c r="B22" i="22" s="1"/>
  <c r="X11" i="22" s="1"/>
  <c r="O6" i="4"/>
  <c r="O11" i="4"/>
  <c r="P11" i="4" s="1"/>
  <c r="B26" i="22" s="1"/>
  <c r="X12" i="22" s="1"/>
  <c r="H37" i="30"/>
  <c r="T43" i="22" s="1"/>
  <c r="N15" i="24"/>
  <c r="AE16" i="22" s="1"/>
  <c r="T42" i="22" l="1"/>
  <c r="J51" i="22" s="1"/>
  <c r="M18" i="24"/>
  <c r="AB19" i="22" s="1"/>
  <c r="AN20" i="22" s="1"/>
  <c r="AB16" i="22"/>
  <c r="AN18" i="22" s="1"/>
  <c r="H18" i="3"/>
  <c r="E21" i="3" s="1"/>
  <c r="D16" i="3"/>
  <c r="C17" i="3" s="1"/>
  <c r="P8" i="3"/>
  <c r="H19" i="3"/>
  <c r="F21" i="3" s="1"/>
  <c r="F18" i="3"/>
  <c r="E19" i="3" s="1"/>
  <c r="E16" i="3"/>
  <c r="C18" i="3" s="1"/>
  <c r="F17" i="3"/>
  <c r="D19" i="3" s="1"/>
  <c r="P6" i="3"/>
  <c r="P7" i="3"/>
  <c r="F16" i="3"/>
  <c r="C19" i="3" s="1"/>
  <c r="P9" i="3"/>
  <c r="L10" i="3"/>
  <c r="N10" i="3" s="1"/>
  <c r="O10" i="3" s="1"/>
  <c r="P10" i="3" s="1"/>
  <c r="N17" i="22"/>
  <c r="N16" i="22"/>
  <c r="N14" i="22"/>
  <c r="N15" i="22"/>
  <c r="N31" i="22"/>
  <c r="N30" i="22"/>
  <c r="P9" i="4"/>
  <c r="B18" i="22" s="1"/>
  <c r="X10" i="22" s="1"/>
  <c r="N35" i="22"/>
  <c r="N34" i="22"/>
  <c r="C21" i="3"/>
  <c r="J24" i="4"/>
  <c r="J32" i="4" s="1"/>
  <c r="C32" i="4"/>
  <c r="I38" i="24"/>
  <c r="T15" i="24"/>
  <c r="N18" i="24"/>
  <c r="AE19" i="22" s="1"/>
  <c r="S15" i="24"/>
  <c r="R15" i="24"/>
  <c r="N27" i="22"/>
  <c r="N26" i="22"/>
  <c r="N29" i="22"/>
  <c r="N28" i="22"/>
  <c r="N22" i="22"/>
  <c r="N25" i="22"/>
  <c r="N24" i="22"/>
  <c r="N23" i="22"/>
  <c r="N37" i="22"/>
  <c r="N36" i="22"/>
  <c r="P6" i="4"/>
  <c r="C16" i="4"/>
  <c r="C17" i="4" s="1"/>
  <c r="C18" i="4" s="1"/>
  <c r="F18" i="4" s="1"/>
  <c r="O14" i="4"/>
  <c r="N10" i="22"/>
  <c r="N13" i="22"/>
  <c r="N11" i="22"/>
  <c r="N12" i="22"/>
  <c r="N33" i="22"/>
  <c r="N32" i="22"/>
  <c r="I37" i="30"/>
  <c r="I6" i="30"/>
  <c r="U15" i="24"/>
  <c r="O18" i="24"/>
  <c r="H42" i="22" l="1"/>
  <c r="H43" i="22"/>
  <c r="U18" i="24"/>
  <c r="AH19" i="22"/>
  <c r="P23" i="22"/>
  <c r="AD11" i="22" s="1"/>
  <c r="AC11" i="22"/>
  <c r="P25" i="22"/>
  <c r="AJ11" i="22" s="1"/>
  <c r="AI11" i="22"/>
  <c r="P28" i="22"/>
  <c r="AG12" i="22" s="1"/>
  <c r="AF12" i="22"/>
  <c r="P26" i="22"/>
  <c r="AA12" i="22" s="1"/>
  <c r="Z12" i="22"/>
  <c r="P35" i="22"/>
  <c r="AD14" i="22" s="1"/>
  <c r="AC14" i="22"/>
  <c r="P30" i="22"/>
  <c r="AA13" i="22" s="1"/>
  <c r="Z13" i="22"/>
  <c r="P15" i="22"/>
  <c r="AD9" i="22" s="1"/>
  <c r="AC9" i="22"/>
  <c r="P16" i="22"/>
  <c r="AG9" i="22" s="1"/>
  <c r="AF9" i="22"/>
  <c r="P33" i="22"/>
  <c r="AJ13" i="22" s="1"/>
  <c r="AI13" i="22"/>
  <c r="P11" i="22"/>
  <c r="AD8" i="22" s="1"/>
  <c r="AC8" i="22"/>
  <c r="P10" i="22"/>
  <c r="AA8" i="22" s="1"/>
  <c r="Z8" i="22"/>
  <c r="P36" i="22"/>
  <c r="AG14" i="22" s="1"/>
  <c r="AF14" i="22"/>
  <c r="P32" i="22"/>
  <c r="AG13" i="22" s="1"/>
  <c r="AF13" i="22"/>
  <c r="P12" i="22"/>
  <c r="AG8" i="22" s="1"/>
  <c r="AF8" i="22"/>
  <c r="P13" i="22"/>
  <c r="AJ8" i="22" s="1"/>
  <c r="AI8" i="22"/>
  <c r="P37" i="22"/>
  <c r="AJ14" i="22" s="1"/>
  <c r="AI14" i="22"/>
  <c r="P24" i="22"/>
  <c r="AG11" i="22" s="1"/>
  <c r="AF11" i="22"/>
  <c r="P22" i="22"/>
  <c r="AA11" i="22" s="1"/>
  <c r="Z11" i="22"/>
  <c r="P29" i="22"/>
  <c r="AJ12" i="22" s="1"/>
  <c r="AI12" i="22"/>
  <c r="P27" i="22"/>
  <c r="AD12" i="22" s="1"/>
  <c r="AC12" i="22"/>
  <c r="P34" i="22"/>
  <c r="AA14" i="22" s="1"/>
  <c r="Z14" i="22"/>
  <c r="P31" i="22"/>
  <c r="AD13" i="22" s="1"/>
  <c r="AC13" i="22"/>
  <c r="P14" i="22"/>
  <c r="AA9" i="22" s="1"/>
  <c r="Z9" i="22"/>
  <c r="P17" i="22"/>
  <c r="AJ9" i="22" s="1"/>
  <c r="AI9" i="22"/>
  <c r="G19" i="3"/>
  <c r="F20" i="3" s="1"/>
  <c r="F24" i="3" s="1"/>
  <c r="G16" i="3"/>
  <c r="G18" i="3"/>
  <c r="E20" i="3" s="1"/>
  <c r="E24" i="3" s="1"/>
  <c r="G17" i="3"/>
  <c r="D20" i="3" s="1"/>
  <c r="D24" i="3" s="1"/>
  <c r="H20" i="3"/>
  <c r="N19" i="22"/>
  <c r="N18" i="22"/>
  <c r="N21" i="22"/>
  <c r="N20" i="22"/>
  <c r="P14" i="4"/>
  <c r="B6" i="22"/>
  <c r="X7" i="22" s="1"/>
  <c r="X15" i="22" s="1"/>
  <c r="I38" i="30"/>
  <c r="T44" i="22"/>
  <c r="T18" i="24"/>
  <c r="S18" i="24"/>
  <c r="R18" i="24"/>
  <c r="L17" i="3" l="1"/>
  <c r="N17" i="3" s="1"/>
  <c r="P20" i="22"/>
  <c r="AG10" i="22" s="1"/>
  <c r="AF10" i="22"/>
  <c r="P21" i="22"/>
  <c r="AJ10" i="22" s="1"/>
  <c r="AI10" i="22"/>
  <c r="P19" i="22"/>
  <c r="AD10" i="22" s="1"/>
  <c r="AC10" i="22"/>
  <c r="P18" i="22"/>
  <c r="AA10" i="22" s="1"/>
  <c r="Z10" i="22"/>
  <c r="G21" i="3"/>
  <c r="L21" i="3" s="1"/>
  <c r="N21" i="3" s="1"/>
  <c r="H24" i="3"/>
  <c r="C20" i="3"/>
  <c r="L16" i="3"/>
  <c r="N16" i="3" s="1"/>
  <c r="L19" i="3"/>
  <c r="N19" i="3" s="1"/>
  <c r="L18" i="3"/>
  <c r="N18" i="3" s="1"/>
  <c r="H45" i="22"/>
  <c r="H44" i="22"/>
  <c r="N6" i="22"/>
  <c r="Z7" i="22" s="1"/>
  <c r="N9" i="22"/>
  <c r="AI7" i="22" s="1"/>
  <c r="N7" i="22"/>
  <c r="AC7" i="22" s="1"/>
  <c r="N8" i="22"/>
  <c r="AF7" i="22" s="1"/>
  <c r="Q43" i="22" l="1"/>
  <c r="AE22" i="22"/>
  <c r="AE20" i="22"/>
  <c r="Q44" i="22"/>
  <c r="AH22" i="22"/>
  <c r="AH20" i="22"/>
  <c r="Q42" i="22"/>
  <c r="AB22" i="22"/>
  <c r="AS8" i="22" s="1"/>
  <c r="AB20" i="22"/>
  <c r="AC15" i="22"/>
  <c r="Z15" i="22"/>
  <c r="G24" i="3"/>
  <c r="AF15" i="22"/>
  <c r="AI15" i="22"/>
  <c r="L20" i="3"/>
  <c r="N20" i="3" s="1"/>
  <c r="C24" i="3"/>
  <c r="P8" i="22"/>
  <c r="AG7" i="22" s="1"/>
  <c r="AG15" i="22" s="1"/>
  <c r="D44" i="22"/>
  <c r="D45" i="22"/>
  <c r="P9" i="22"/>
  <c r="AJ7" i="22" s="1"/>
  <c r="AJ15" i="22" s="1"/>
  <c r="J44" i="22"/>
  <c r="J43" i="22"/>
  <c r="J45" i="22"/>
  <c r="P7" i="22"/>
  <c r="AD7" i="22" s="1"/>
  <c r="AD15" i="22" s="1"/>
  <c r="D43" i="22"/>
  <c r="P6" i="22"/>
  <c r="AA7" i="22" s="1"/>
  <c r="AA15" i="22" s="1"/>
  <c r="D42" i="22"/>
  <c r="Q41" i="22" l="1"/>
  <c r="Y20" i="22"/>
  <c r="Y22" i="22"/>
  <c r="AR8" i="22" s="1"/>
  <c r="N24" i="3"/>
  <c r="D50" i="22"/>
  <c r="H50" i="22" s="1"/>
  <c r="Y21" i="22" s="1"/>
  <c r="AR7" i="22" s="1"/>
  <c r="L42" i="22"/>
  <c r="L43" i="22"/>
  <c r="D51" i="22"/>
  <c r="H51" i="22" s="1"/>
  <c r="AB21" i="22" s="1"/>
  <c r="AS7" i="22" s="1"/>
  <c r="F43" i="22"/>
  <c r="AE21" i="22"/>
  <c r="F44" i="22"/>
  <c r="L44" i="22"/>
  <c r="N44" i="22" s="1"/>
  <c r="AH21" i="22"/>
  <c r="F45" i="22"/>
  <c r="L45" i="22"/>
  <c r="O16" i="3" l="1"/>
  <c r="O17" i="3"/>
  <c r="P17" i="3" s="1"/>
  <c r="O19" i="3"/>
  <c r="P19" i="3" s="1"/>
  <c r="O18" i="3"/>
  <c r="P18" i="3" s="1"/>
  <c r="O21" i="3"/>
  <c r="P21" i="3" s="1"/>
  <c r="O20" i="3"/>
  <c r="P20" i="3" s="1"/>
  <c r="R43" i="22"/>
  <c r="S43" i="22" s="1"/>
  <c r="AE23" i="22"/>
  <c r="L51" i="22"/>
  <c r="AB23" i="22" s="1"/>
  <c r="AS9" i="22" s="1"/>
  <c r="R42" i="22"/>
  <c r="S42" i="22" s="1"/>
  <c r="S44" i="22"/>
  <c r="N45" i="22"/>
  <c r="R44" i="22"/>
  <c r="AH23" i="22"/>
  <c r="J18" i="43"/>
  <c r="L50" i="22"/>
  <c r="R41" i="22"/>
  <c r="S41" i="22" s="1"/>
  <c r="N43" i="22"/>
  <c r="L18" i="43" l="1"/>
  <c r="Y23" i="22"/>
  <c r="AR9" i="22" s="1"/>
  <c r="P16" i="3"/>
  <c r="P24" i="3" s="1"/>
  <c r="C26" i="3"/>
  <c r="C27" i="3" s="1"/>
  <c r="J27" i="3" s="1"/>
  <c r="O24" i="3"/>
  <c r="J19" i="43"/>
  <c r="L19" i="43"/>
</calcChain>
</file>

<file path=xl/sharedStrings.xml><?xml version="1.0" encoding="utf-8"?>
<sst xmlns="http://schemas.openxmlformats.org/spreadsheetml/2006/main" count="9945" uniqueCount="403">
  <si>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</si>
  <si>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</si>
  <si>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</si>
  <si>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</si>
  <si>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</si>
  <si>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</si>
  <si>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</si>
  <si>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</si>
  <si>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</si>
  <si>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절
대</t>
    <phoneticPr fontId="2" type="noConversion"/>
  </si>
  <si>
    <t>매
우</t>
    <phoneticPr fontId="2" type="noConversion"/>
  </si>
  <si>
    <t>상
당</t>
    <phoneticPr fontId="2" type="noConversion"/>
  </si>
  <si>
    <t>약
간</t>
    <phoneticPr fontId="2" type="noConversion"/>
  </si>
  <si>
    <t>동
등</t>
    <phoneticPr fontId="2" type="noConversion"/>
  </si>
  <si>
    <t>에</t>
    <phoneticPr fontId="2" type="noConversion"/>
  </si>
  <si>
    <t>따른 하위속성 평가</t>
    <phoneticPr fontId="2" type="noConversion"/>
  </si>
  <si>
    <t>따른 대안 평가</t>
    <phoneticPr fontId="2" type="noConversion"/>
  </si>
  <si>
    <t>대안(Alternative)</t>
    <phoneticPr fontId="2" type="noConversion"/>
  </si>
  <si>
    <t>PERFORMANCE ATTRIBUTE &amp; REQUIREMENT DEFINITIONS</t>
  </si>
  <si>
    <t xml:space="preserve">Performance Attribute </t>
  </si>
  <si>
    <t>Definition</t>
  </si>
  <si>
    <t>Performance Requirement</t>
  </si>
  <si>
    <t>Performance</t>
    <phoneticPr fontId="2" type="noConversion"/>
  </si>
  <si>
    <t>SUB-PERFORMANCE ATTRIBUTE DEFINITIONS</t>
    <phoneticPr fontId="2" type="noConversion"/>
  </si>
  <si>
    <t xml:space="preserve">Sub-Performance Attribute  </t>
    <phoneticPr fontId="2" type="noConversion"/>
  </si>
  <si>
    <t>Performance Attribute  #1 :</t>
    <phoneticPr fontId="2" type="noConversion"/>
  </si>
  <si>
    <t>Performance Attribute #2 :</t>
    <phoneticPr fontId="2" type="noConversion"/>
  </si>
  <si>
    <t>Performance Attribute #3 :</t>
    <phoneticPr fontId="2" type="noConversion"/>
  </si>
  <si>
    <t>Performance Attribute #4 :</t>
    <phoneticPr fontId="2" type="noConversion"/>
  </si>
  <si>
    <t>Performance Attribute #5 :</t>
    <phoneticPr fontId="2" type="noConversion"/>
  </si>
  <si>
    <t>Performance Attribute #6 :</t>
    <phoneticPr fontId="2" type="noConversion"/>
  </si>
  <si>
    <t>Performance Attribute #7 :</t>
    <phoneticPr fontId="2" type="noConversion"/>
  </si>
  <si>
    <t>Performance Attribute #8 :</t>
    <phoneticPr fontId="2" type="noConversion"/>
  </si>
  <si>
    <t>PERFORMANCE ATTRIBUTE SCALES</t>
  </si>
  <si>
    <t>Perfomance Attributes</t>
  </si>
  <si>
    <t>Rating</t>
  </si>
  <si>
    <t>Alternative Concept is extremely preferred.</t>
    <phoneticPr fontId="2" type="noConversion"/>
  </si>
  <si>
    <t>Alternative Concept is very strongly preferred.</t>
  </si>
  <si>
    <t>Alternative Concept is strongly preferred.</t>
  </si>
  <si>
    <t>Alternative Concept is moderately preferred.</t>
  </si>
  <si>
    <t>Alternative Concept is slightly preferred.</t>
  </si>
  <si>
    <t>Concepts are equally preferred.</t>
  </si>
  <si>
    <t>Baseline Concept is slightly preferred.</t>
  </si>
  <si>
    <t>Baseline Concept is moderately preferred.</t>
  </si>
  <si>
    <t>Baseline Concept is strongly preferred.</t>
  </si>
  <si>
    <t>Baseline Concept is very strongly preferred.</t>
  </si>
  <si>
    <t>Baseline Concept is extremely preferred.</t>
    <phoneticPr fontId="2" type="noConversion"/>
  </si>
  <si>
    <t>Baseline Concept Evaluation</t>
  </si>
  <si>
    <t xml:space="preserve">Evaluation Rationale </t>
  </si>
  <si>
    <t>1~10% reduction in amount</t>
    <phoneticPr fontId="2" type="noConversion"/>
  </si>
  <si>
    <t>1~10% increase in amount</t>
    <phoneticPr fontId="2" type="noConversion"/>
  </si>
  <si>
    <t>11~20% reduction in amount</t>
    <phoneticPr fontId="2" type="noConversion"/>
  </si>
  <si>
    <t>21~35% reduction in amount</t>
    <phoneticPr fontId="2" type="noConversion"/>
  </si>
  <si>
    <t>36~50% reduction in amount</t>
    <phoneticPr fontId="2" type="noConversion"/>
  </si>
  <si>
    <t>&gt;50% reduction in amount</t>
    <phoneticPr fontId="2" type="noConversion"/>
  </si>
  <si>
    <t>11~20% increase in amount</t>
    <phoneticPr fontId="2" type="noConversion"/>
  </si>
  <si>
    <t>21~35% increase in amount</t>
    <phoneticPr fontId="2" type="noConversion"/>
  </si>
  <si>
    <t>36~50% increase in amount</t>
    <phoneticPr fontId="2" type="noConversion"/>
  </si>
  <si>
    <t>&gt;50% increase in amount</t>
    <phoneticPr fontId="2" type="noConversion"/>
  </si>
  <si>
    <t>Current amount</t>
    <phoneticPr fontId="2" type="noConversion"/>
  </si>
  <si>
    <t>Sub-Performance</t>
    <phoneticPr fontId="2" type="noConversion"/>
  </si>
  <si>
    <t>Rationale</t>
    <phoneticPr fontId="2" type="noConversion"/>
  </si>
  <si>
    <t>Rating</t>
    <phoneticPr fontId="2" type="noConversion"/>
  </si>
  <si>
    <t>Sub-Total</t>
    <phoneticPr fontId="2" type="noConversion"/>
  </si>
  <si>
    <t>VALUE MATRIX</t>
  </si>
  <si>
    <t>Attribute</t>
  </si>
  <si>
    <t>Attribute
Weight</t>
  </si>
  <si>
    <t>Concept</t>
  </si>
  <si>
    <t>Performance Rating</t>
  </si>
  <si>
    <t>Baseline</t>
  </si>
  <si>
    <t>OVERALL PERFORMANCE</t>
  </si>
  <si>
    <t>Original Concept</t>
  </si>
  <si>
    <t>선호도 설문조사</t>
    <phoneticPr fontId="2" type="noConversion"/>
  </si>
  <si>
    <t>A-2. Confidence Index(CI)</t>
    <phoneticPr fontId="2" type="noConversion"/>
  </si>
  <si>
    <t>INITIAL COSTS</t>
  </si>
  <si>
    <t>CONSTRUCTION ELEMENT</t>
  </si>
  <si>
    <t>Description</t>
  </si>
  <si>
    <t>Unit</t>
  </si>
  <si>
    <t>Quantity</t>
  </si>
  <si>
    <t xml:space="preserve">Total   </t>
  </si>
  <si>
    <t>SUB-TOTAL</t>
  </si>
  <si>
    <t>PROJECT MARK-UPS</t>
  </si>
  <si>
    <t>TOTAL  (Rounded)</t>
  </si>
  <si>
    <t>SAVINGS</t>
  </si>
  <si>
    <t>LIFE CYCLE COSTS</t>
  </si>
  <si>
    <t>Life Cycle Period</t>
  </si>
  <si>
    <t>Years</t>
  </si>
  <si>
    <t>Interest</t>
  </si>
  <si>
    <t>%</t>
  </si>
  <si>
    <t>A.</t>
  </si>
  <si>
    <t>INITIAL COST</t>
  </si>
  <si>
    <t xml:space="preserve">INITIAL COST SAVINGS:  </t>
  </si>
  <si>
    <t>B.</t>
  </si>
  <si>
    <t>ANNUAL COSTS</t>
  </si>
  <si>
    <t xml:space="preserve">Total Annual Costs:  </t>
  </si>
  <si>
    <t xml:space="preserve">Present Value Factor (P/A):  </t>
  </si>
  <si>
    <t xml:space="preserve">PRESENT VALUE OF ANNUAL COSTS:  </t>
  </si>
  <si>
    <t>C.</t>
  </si>
  <si>
    <t>SINGLE EXPENDITURES</t>
  </si>
  <si>
    <t>Year</t>
  </si>
  <si>
    <t>Amount</t>
  </si>
  <si>
    <t>PV Factor</t>
  </si>
  <si>
    <t>Present Value</t>
  </si>
  <si>
    <t xml:space="preserve">PRESENT VALUE OF SINGLE EXPENDITURES:  </t>
  </si>
  <si>
    <t>D.</t>
  </si>
  <si>
    <t>TOTAL ANNUAL COSTS &amp; SINGLE EXPENDITURES (B+C)</t>
  </si>
  <si>
    <t>E.</t>
  </si>
  <si>
    <t>SALVAGE VALUE</t>
  </si>
  <si>
    <t>F.</t>
  </si>
  <si>
    <t xml:space="preserve">TOTAL PRESENT VALUE COST (A+D+E) </t>
  </si>
  <si>
    <t xml:space="preserve">TOTAL LIFE CYCLE SAVINGS:    </t>
  </si>
  <si>
    <t>Rating Rationale - Alt. Concept #1</t>
    <phoneticPr fontId="2" type="noConversion"/>
  </si>
  <si>
    <t>Rating Rationale - Alt. Concept #2</t>
    <phoneticPr fontId="2" type="noConversion"/>
  </si>
  <si>
    <t>Rating Rationale - Alt. Concept #3</t>
    <phoneticPr fontId="2" type="noConversion"/>
  </si>
  <si>
    <t>PERFORMANCE HIERARCHY</t>
    <phoneticPr fontId="2" type="noConversion"/>
  </si>
  <si>
    <t>SALVAGE VALUE</t>
    <phoneticPr fontId="2" type="noConversion"/>
  </si>
  <si>
    <t>LCC</t>
    <phoneticPr fontId="2" type="noConversion"/>
  </si>
  <si>
    <t>Alt.#3</t>
    <phoneticPr fontId="2" type="noConversion"/>
  </si>
  <si>
    <t>Alt.#2</t>
    <phoneticPr fontId="2" type="noConversion"/>
  </si>
  <si>
    <t>LCC</t>
    <phoneticPr fontId="2" type="noConversion"/>
  </si>
  <si>
    <t>ORIGINAL</t>
    <phoneticPr fontId="2" type="noConversion"/>
  </si>
  <si>
    <t>ALT.#1</t>
    <phoneticPr fontId="2" type="noConversion"/>
  </si>
  <si>
    <t>ALT.#2</t>
    <phoneticPr fontId="2" type="noConversion"/>
  </si>
  <si>
    <t>ALT.#3</t>
    <phoneticPr fontId="2" type="noConversion"/>
  </si>
  <si>
    <t>2.  Energy</t>
  </si>
  <si>
    <t>3.  Supplies &amp; Misc.</t>
  </si>
  <si>
    <t>&gt;50% reduction in amount</t>
    <phoneticPr fontId="2" type="noConversion"/>
  </si>
  <si>
    <t>36~50% reduction in amount</t>
    <phoneticPr fontId="2" type="noConversion"/>
  </si>
  <si>
    <t>21~35% reduction in amount</t>
    <phoneticPr fontId="2" type="noConversion"/>
  </si>
  <si>
    <t>11~20% reduction in amount</t>
    <phoneticPr fontId="2" type="noConversion"/>
  </si>
  <si>
    <t>1~10% reduction in amount</t>
    <phoneticPr fontId="2" type="noConversion"/>
  </si>
  <si>
    <t>Current amount</t>
    <phoneticPr fontId="2" type="noConversion"/>
  </si>
  <si>
    <t>1~10% increase in amount</t>
    <phoneticPr fontId="2" type="noConversion"/>
  </si>
  <si>
    <t>11~20% increase in amount</t>
    <phoneticPr fontId="2" type="noConversion"/>
  </si>
  <si>
    <t>21~35% increase in amount</t>
    <phoneticPr fontId="2" type="noConversion"/>
  </si>
  <si>
    <t>36~50% increase in amount</t>
    <phoneticPr fontId="2" type="noConversion"/>
  </si>
  <si>
    <t>LOS "A" : Volume/Capacity = 0.0~0.3 ; Free flow - excellent operation</t>
    <phoneticPr fontId="2" type="noConversion"/>
  </si>
  <si>
    <t>LOS "B" : Volume/Capacity = 0.31~0.48 ; Stable flow - very/good operation</t>
    <phoneticPr fontId="2" type="noConversion"/>
  </si>
  <si>
    <t>LOS "C" : Volume/Capacity = 0.49~0.64 ; Stable flow - good operation</t>
    <phoneticPr fontId="2" type="noConversion"/>
  </si>
  <si>
    <t>LOS "D" : Volume/Capacity = 0.65~0.80 ; Approaching unstable flow - fair operation</t>
    <phoneticPr fontId="2" type="noConversion"/>
  </si>
  <si>
    <t>LOS "E" : Volume/Capacity = 0.81~0.90 ; Unstable flow - poor operation</t>
    <phoneticPr fontId="2" type="noConversion"/>
  </si>
  <si>
    <t>LOS "F" : Volume/Capacity = 0.91~1.05 ; Traffic congestion for 15 minutes to 1 hour</t>
    <phoneticPr fontId="2" type="noConversion"/>
  </si>
  <si>
    <t>LOS "F" : Volume/Capacity = 1.06~1.20 ; Traffic congestion for 1 to 2 hour</t>
    <phoneticPr fontId="2" type="noConversion"/>
  </si>
  <si>
    <t>LOS "F" : Volume/Capacity = 1.21~1.34 ; Traffic congestion for 2 to 3 hour</t>
    <phoneticPr fontId="2" type="noConversion"/>
  </si>
  <si>
    <t>LOS "F" : Volume/Capacity = 1.35 or more ; Traffic congestion for more than 3 hours</t>
    <phoneticPr fontId="2" type="noConversion"/>
  </si>
  <si>
    <t>&gt;50% increase in amount</t>
    <phoneticPr fontId="2" type="noConversion"/>
  </si>
  <si>
    <t>A-1. Pairwise Comparison Matrices</t>
    <phoneticPr fontId="2" type="noConversion"/>
  </si>
  <si>
    <t>SUM</t>
    <phoneticPr fontId="2" type="noConversion"/>
  </si>
  <si>
    <t>N</t>
    <phoneticPr fontId="2" type="noConversion"/>
  </si>
  <si>
    <t>Eigen Vector</t>
    <phoneticPr fontId="2" type="noConversion"/>
  </si>
  <si>
    <t>Priority Vector</t>
    <phoneticPr fontId="2" type="noConversion"/>
  </si>
  <si>
    <t>N</t>
    <phoneticPr fontId="2" type="noConversion"/>
  </si>
  <si>
    <t>RI</t>
    <phoneticPr fontId="2" type="noConversion"/>
  </si>
  <si>
    <r>
      <rPr>
        <sz val="10"/>
        <rFont val="-소망L"/>
        <family val="1"/>
        <charset val="129"/>
      </rPr>
      <t>평</t>
    </r>
    <r>
      <rPr>
        <sz val="10"/>
        <rFont val="Times New Roman"/>
        <family val="1"/>
      </rPr>
      <t xml:space="preserve">  </t>
    </r>
    <r>
      <rPr>
        <sz val="10"/>
        <rFont val="-소망L"/>
        <family val="1"/>
        <charset val="129"/>
      </rPr>
      <t>가</t>
    </r>
    <r>
      <rPr>
        <sz val="10"/>
        <rFont val="Times New Roman"/>
        <family val="1"/>
      </rPr>
      <t xml:space="preserve">  </t>
    </r>
    <r>
      <rPr>
        <sz val="10"/>
        <rFont val="-소망L"/>
        <family val="1"/>
        <charset val="129"/>
      </rPr>
      <t>항</t>
    </r>
    <r>
      <rPr>
        <sz val="10"/>
        <rFont val="Times New Roman"/>
        <family val="1"/>
      </rPr>
      <t xml:space="preserve">  </t>
    </r>
    <r>
      <rPr>
        <sz val="10"/>
        <rFont val="-소망L"/>
        <family val="1"/>
        <charset val="129"/>
      </rPr>
      <t>목</t>
    </r>
    <phoneticPr fontId="2" type="noConversion"/>
  </si>
  <si>
    <t>No</t>
    <phoneticPr fontId="2" type="noConversion"/>
  </si>
  <si>
    <t>COV</t>
    <phoneticPr fontId="2" type="noConversion"/>
  </si>
  <si>
    <t>B. Pairwise Comparison Matrices</t>
    <phoneticPr fontId="2" type="noConversion"/>
  </si>
  <si>
    <t>Eigen Vector</t>
    <phoneticPr fontId="2" type="noConversion"/>
  </si>
  <si>
    <t>Priority Vector</t>
    <phoneticPr fontId="2" type="noConversion"/>
  </si>
  <si>
    <t>SUM</t>
    <phoneticPr fontId="2" type="noConversion"/>
  </si>
  <si>
    <t>C. Confidence Index(CI)</t>
    <phoneticPr fontId="2" type="noConversion"/>
  </si>
  <si>
    <t xml:space="preserve">  C-1. λmax     =</t>
    <phoneticPr fontId="2" type="noConversion"/>
  </si>
  <si>
    <t xml:space="preserve">  C-2. CI           =</t>
    <phoneticPr fontId="2" type="noConversion"/>
  </si>
  <si>
    <t xml:space="preserve">  C-3. CR          =</t>
    <phoneticPr fontId="2" type="noConversion"/>
  </si>
  <si>
    <r>
      <rPr>
        <sz val="10"/>
        <rFont val="-소망L"/>
        <family val="1"/>
        <charset val="129"/>
      </rPr>
      <t>평가항목</t>
    </r>
    <phoneticPr fontId="2" type="noConversion"/>
  </si>
  <si>
    <r>
      <rPr>
        <sz val="10"/>
        <rFont val="-소망L"/>
        <family val="1"/>
        <charset val="129"/>
      </rPr>
      <t>설문
평균</t>
    </r>
    <phoneticPr fontId="2" type="noConversion"/>
  </si>
  <si>
    <r>
      <t>VE</t>
    </r>
    <r>
      <rPr>
        <sz val="10"/>
        <rFont val="-소망L"/>
        <family val="1"/>
        <charset val="129"/>
      </rPr>
      <t>팀
평균</t>
    </r>
    <phoneticPr fontId="2" type="noConversion"/>
  </si>
  <si>
    <r>
      <rPr>
        <sz val="10"/>
        <rFont val="-소망L"/>
        <family val="1"/>
        <charset val="129"/>
      </rPr>
      <t>전체평균</t>
    </r>
    <phoneticPr fontId="2" type="noConversion"/>
  </si>
  <si>
    <r>
      <rPr>
        <sz val="10"/>
        <rFont val="-소망L"/>
        <family val="1"/>
        <charset val="129"/>
      </rPr>
      <t>계산치</t>
    </r>
    <phoneticPr fontId="2" type="noConversion"/>
  </si>
  <si>
    <r>
      <rPr>
        <sz val="10"/>
        <rFont val="-소망L"/>
        <family val="1"/>
        <charset val="129"/>
      </rPr>
      <t>조정치</t>
    </r>
    <phoneticPr fontId="2" type="noConversion"/>
  </si>
  <si>
    <r>
      <rPr>
        <sz val="10"/>
        <rFont val="-소망L"/>
        <family val="1"/>
        <charset val="129"/>
      </rPr>
      <t>행곱</t>
    </r>
    <phoneticPr fontId="2" type="noConversion"/>
  </si>
  <si>
    <r>
      <rPr>
        <sz val="10"/>
        <rFont val="-소망L"/>
        <family val="1"/>
        <charset val="129"/>
      </rPr>
      <t>전문가</t>
    </r>
    <r>
      <rPr>
        <sz val="10"/>
        <rFont val="Times New Roman"/>
        <family val="1"/>
      </rPr>
      <t xml:space="preserve"> 7</t>
    </r>
    <r>
      <rPr>
        <sz val="10"/>
        <rFont val="-소망L"/>
        <family val="1"/>
        <charset val="129"/>
      </rPr>
      <t>인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설문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응답지</t>
    </r>
    <phoneticPr fontId="2" type="noConversion"/>
  </si>
  <si>
    <r>
      <rPr>
        <sz val="10"/>
        <rFont val="-소망L"/>
        <family val="1"/>
        <charset val="129"/>
      </rPr>
      <t>확정치</t>
    </r>
    <r>
      <rPr>
        <sz val="10"/>
        <rFont val="Times New Roman"/>
        <family val="1"/>
      </rPr>
      <t>(%)</t>
    </r>
    <phoneticPr fontId="2" type="noConversion"/>
  </si>
  <si>
    <r>
      <rPr>
        <sz val="10"/>
        <rFont val="-소망L"/>
        <family val="1"/>
        <charset val="129"/>
      </rPr>
      <t>열</t>
    </r>
    <r>
      <rPr>
        <sz val="10"/>
        <rFont val="Times New Roman"/>
        <family val="1"/>
      </rPr>
      <t>(Column)</t>
    </r>
    <r>
      <rPr>
        <sz val="10"/>
        <rFont val="-소망L"/>
        <family val="1"/>
        <charset val="129"/>
      </rPr>
      <t>합</t>
    </r>
    <phoneticPr fontId="2" type="noConversion"/>
  </si>
  <si>
    <r>
      <rPr>
        <sz val="10"/>
        <rFont val="-소망L"/>
        <family val="1"/>
        <charset val="129"/>
      </rPr>
      <t>☜</t>
    </r>
    <r>
      <rPr>
        <sz val="10"/>
        <rFont val="Times New Roman"/>
        <family val="1"/>
      </rPr>
      <t xml:space="preserve"> Pairwise Comparison Matrices</t>
    </r>
    <r>
      <rPr>
        <sz val="10"/>
        <rFont val="-소망L"/>
        <family val="1"/>
        <charset val="129"/>
      </rPr>
      <t>의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열합행렬</t>
    </r>
    <r>
      <rPr>
        <sz val="10"/>
        <rFont val="Times New Roman"/>
        <family val="1"/>
      </rPr>
      <t>(1</t>
    </r>
    <r>
      <rPr>
        <sz val="10"/>
        <rFont val="-소망L"/>
        <family val="1"/>
        <charset val="129"/>
      </rPr>
      <t>행</t>
    </r>
    <r>
      <rPr>
        <sz val="10"/>
        <rFont val="Times New Roman"/>
        <family val="1"/>
      </rPr>
      <t>×8</t>
    </r>
    <r>
      <rPr>
        <sz val="10"/>
        <rFont val="-소망L"/>
        <family val="1"/>
        <charset val="129"/>
      </rPr>
      <t>열</t>
    </r>
    <r>
      <rPr>
        <sz val="10"/>
        <rFont val="Times New Roman"/>
        <family val="1"/>
      </rPr>
      <t>)</t>
    </r>
    <r>
      <rPr>
        <sz val="10"/>
        <rFont val="-소망L"/>
        <family val="1"/>
        <charset val="129"/>
      </rPr>
      <t>과</t>
    </r>
    <r>
      <rPr>
        <sz val="10"/>
        <rFont val="Times New Roman"/>
        <family val="1"/>
      </rPr>
      <t xml:space="preserve"> Priority Veoctor(8</t>
    </r>
    <r>
      <rPr>
        <sz val="10"/>
        <rFont val="-소망L"/>
        <family val="1"/>
        <charset val="129"/>
      </rPr>
      <t>행</t>
    </r>
    <r>
      <rPr>
        <sz val="10"/>
        <rFont val="Times New Roman"/>
        <family val="1"/>
      </rPr>
      <t>×1</t>
    </r>
    <r>
      <rPr>
        <sz val="10"/>
        <rFont val="-소망L"/>
        <family val="1"/>
        <charset val="129"/>
      </rPr>
      <t>열</t>
    </r>
    <r>
      <rPr>
        <sz val="10"/>
        <rFont val="Times New Roman"/>
        <family val="1"/>
      </rPr>
      <t>)</t>
    </r>
    <r>
      <rPr>
        <sz val="10"/>
        <rFont val="-소망L"/>
        <family val="1"/>
        <charset val="129"/>
      </rPr>
      <t>의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행렬곱</t>
    </r>
    <phoneticPr fontId="2" type="noConversion"/>
  </si>
  <si>
    <r>
      <rPr>
        <sz val="10"/>
        <rFont val="-소망L"/>
        <family val="1"/>
        <charset val="129"/>
      </rPr>
      <t>☜</t>
    </r>
    <r>
      <rPr>
        <sz val="10"/>
        <rFont val="Times New Roman"/>
        <family val="1"/>
      </rPr>
      <t xml:space="preserve"> CI = (λmax - N) / (N-1)</t>
    </r>
    <phoneticPr fontId="2" type="noConversion"/>
  </si>
  <si>
    <r>
      <rPr>
        <sz val="10"/>
        <rFont val="-소망L"/>
        <family val="1"/>
        <charset val="129"/>
      </rPr>
      <t>☜</t>
    </r>
    <r>
      <rPr>
        <sz val="10"/>
        <rFont val="Times New Roman"/>
        <family val="1"/>
      </rPr>
      <t xml:space="preserve"> CR = CI / RI</t>
    </r>
    <phoneticPr fontId="2" type="noConversion"/>
  </si>
  <si>
    <r>
      <rPr>
        <b/>
        <sz val="10"/>
        <color indexed="10"/>
        <rFont val="-소망L"/>
        <family val="1"/>
        <charset val="129"/>
      </rPr>
      <t>본</t>
    </r>
    <r>
      <rPr>
        <b/>
        <sz val="10"/>
        <color indexed="10"/>
        <rFont val="Times New Roman"/>
        <family val="1"/>
      </rPr>
      <t xml:space="preserve"> </t>
    </r>
    <r>
      <rPr>
        <b/>
        <sz val="10"/>
        <color indexed="10"/>
        <rFont val="-소망L"/>
        <family val="1"/>
        <charset val="129"/>
      </rPr>
      <t>과업에서는</t>
    </r>
    <r>
      <rPr>
        <b/>
        <sz val="10"/>
        <color indexed="10"/>
        <rFont val="Times New Roman"/>
        <family val="1"/>
      </rPr>
      <t xml:space="preserve"> </t>
    </r>
    <r>
      <rPr>
        <b/>
        <sz val="10"/>
        <color indexed="10"/>
        <rFont val="-소망L"/>
        <family val="1"/>
        <charset val="129"/>
      </rPr>
      <t>적용하지</t>
    </r>
    <r>
      <rPr>
        <b/>
        <sz val="10"/>
        <color indexed="10"/>
        <rFont val="Times New Roman"/>
        <family val="1"/>
      </rPr>
      <t xml:space="preserve"> </t>
    </r>
    <r>
      <rPr>
        <b/>
        <sz val="10"/>
        <color indexed="10"/>
        <rFont val="-소망L"/>
        <family val="1"/>
        <charset val="129"/>
      </rPr>
      <t>않음</t>
    </r>
    <phoneticPr fontId="2" type="noConversion"/>
  </si>
  <si>
    <r>
      <t xml:space="preserve">A. </t>
    </r>
    <r>
      <rPr>
        <sz val="11"/>
        <color indexed="12"/>
        <rFont val="-소망L"/>
        <family val="1"/>
        <charset val="129"/>
      </rPr>
      <t>가중치</t>
    </r>
    <r>
      <rPr>
        <sz val="11"/>
        <color indexed="12"/>
        <rFont val="Times New Roman"/>
        <family val="1"/>
      </rPr>
      <t xml:space="preserve"> </t>
    </r>
    <r>
      <rPr>
        <sz val="11"/>
        <color indexed="12"/>
        <rFont val="-소망L"/>
        <family val="1"/>
        <charset val="129"/>
      </rPr>
      <t>결정</t>
    </r>
    <r>
      <rPr>
        <sz val="11"/>
        <color indexed="12"/>
        <rFont val="Times New Roman"/>
        <family val="1"/>
      </rPr>
      <t xml:space="preserve"> </t>
    </r>
    <r>
      <rPr>
        <sz val="11"/>
        <color indexed="12"/>
        <rFont val="-소망L"/>
        <family val="1"/>
        <charset val="129"/>
      </rPr>
      <t>설문결과</t>
    </r>
    <r>
      <rPr>
        <sz val="11"/>
        <color indexed="12"/>
        <rFont val="Times New Roman"/>
        <family val="1"/>
      </rPr>
      <t>(</t>
    </r>
    <r>
      <rPr>
        <sz val="11"/>
        <color indexed="12"/>
        <rFont val="-소망L"/>
        <family val="1"/>
        <charset val="129"/>
      </rPr>
      <t>절대값</t>
    </r>
    <r>
      <rPr>
        <sz val="11"/>
        <color indexed="12"/>
        <rFont val="Times New Roman"/>
        <family val="1"/>
      </rPr>
      <t xml:space="preserve"> </t>
    </r>
    <r>
      <rPr>
        <sz val="11"/>
        <color indexed="12"/>
        <rFont val="-소망L"/>
        <family val="1"/>
        <charset val="129"/>
      </rPr>
      <t>적용</t>
    </r>
    <r>
      <rPr>
        <sz val="11"/>
        <color indexed="12"/>
        <rFont val="Times New Roman"/>
        <family val="1"/>
      </rPr>
      <t>)</t>
    </r>
    <phoneticPr fontId="2" type="noConversion"/>
  </si>
  <si>
    <t>A. Pairwise Comparison Matrices</t>
    <phoneticPr fontId="2" type="noConversion"/>
  </si>
  <si>
    <t>B. Confidence Index(CI)</t>
    <phoneticPr fontId="2" type="noConversion"/>
  </si>
  <si>
    <t xml:space="preserve">  B-1. λmax     =</t>
    <phoneticPr fontId="2" type="noConversion"/>
  </si>
  <si>
    <t xml:space="preserve">  B-2. CI           =</t>
    <phoneticPr fontId="2" type="noConversion"/>
  </si>
  <si>
    <t xml:space="preserve">  B-3. CR          =</t>
    <phoneticPr fontId="2" type="noConversion"/>
  </si>
  <si>
    <r>
      <rPr>
        <sz val="10"/>
        <rFont val="-소망L"/>
        <family val="1"/>
        <charset val="129"/>
      </rPr>
      <t>절대값</t>
    </r>
    <phoneticPr fontId="2" type="noConversion"/>
  </si>
  <si>
    <t>PERFORMANCE ATTRIBUTE RATING(METHOD-A)</t>
    <phoneticPr fontId="2" type="noConversion"/>
  </si>
  <si>
    <t>PERFORMANCE ATTRIBUTE RATING(METHOD-B)</t>
    <phoneticPr fontId="2" type="noConversion"/>
  </si>
  <si>
    <t>PERFORMANCE ATTRIBUTE RATING(PCM#1)</t>
    <phoneticPr fontId="2" type="noConversion"/>
  </si>
  <si>
    <t>PERFORMANCE ATTRIBUTE RATING(PCM#2)</t>
    <phoneticPr fontId="2" type="noConversion"/>
  </si>
  <si>
    <r>
      <t>(</t>
    </r>
    <r>
      <rPr>
        <sz val="10"/>
        <rFont val="-소망L"/>
        <family val="1"/>
        <charset val="129"/>
      </rPr>
      <t>설문자</t>
    </r>
    <r>
      <rPr>
        <sz val="10"/>
        <rFont val="Times New Roman"/>
        <family val="1"/>
      </rPr>
      <t xml:space="preserve"> : </t>
    </r>
    <r>
      <rPr>
        <sz val="10"/>
        <rFont val="-소망L"/>
        <family val="1"/>
        <charset val="129"/>
      </rPr>
      <t>시공전문가</t>
    </r>
    <r>
      <rPr>
        <sz val="10"/>
        <rFont val="Times New Roman"/>
        <family val="1"/>
      </rPr>
      <t>)</t>
    </r>
    <phoneticPr fontId="2" type="noConversion"/>
  </si>
  <si>
    <t>PERFORMANCE ATTRIBUTE RATING(PCM#3)</t>
    <phoneticPr fontId="2" type="noConversion"/>
  </si>
  <si>
    <t>PERFORMANCE ATTRIBUTE RATING(PCM#4)</t>
    <phoneticPr fontId="2" type="noConversion"/>
  </si>
  <si>
    <t>PERFORMANCE ATTRIBUTE RATING(PCM#5)</t>
    <phoneticPr fontId="2" type="noConversion"/>
  </si>
  <si>
    <r>
      <rPr>
        <b/>
        <sz val="11"/>
        <rFont val="-소망L"/>
        <family val="1"/>
        <charset val="129"/>
      </rPr>
      <t>속성평가</t>
    </r>
    <r>
      <rPr>
        <b/>
        <sz val="11"/>
        <rFont val="Times New Roman"/>
        <family val="1"/>
      </rPr>
      <t>(Objective Evaluation)</t>
    </r>
    <phoneticPr fontId="2" type="noConversion"/>
  </si>
  <si>
    <r>
      <rPr>
        <b/>
        <sz val="11"/>
        <rFont val="-소망L"/>
        <family val="1"/>
        <charset val="129"/>
      </rPr>
      <t>속성</t>
    </r>
    <r>
      <rPr>
        <b/>
        <sz val="11"/>
        <rFont val="Times New Roman"/>
        <family val="1"/>
      </rPr>
      <t>(Objective)</t>
    </r>
    <phoneticPr fontId="2" type="noConversion"/>
  </si>
  <si>
    <r>
      <rPr>
        <b/>
        <sz val="11"/>
        <rFont val="-소망L"/>
        <family val="1"/>
        <charset val="129"/>
      </rPr>
      <t>절
대</t>
    </r>
    <phoneticPr fontId="2" type="noConversion"/>
  </si>
  <si>
    <r>
      <rPr>
        <b/>
        <sz val="11"/>
        <rFont val="-소망L"/>
        <family val="1"/>
        <charset val="129"/>
      </rPr>
      <t>매
우</t>
    </r>
    <phoneticPr fontId="2" type="noConversion"/>
  </si>
  <si>
    <r>
      <rPr>
        <b/>
        <sz val="11"/>
        <rFont val="-소망L"/>
        <family val="1"/>
        <charset val="129"/>
      </rPr>
      <t>상
당</t>
    </r>
    <phoneticPr fontId="2" type="noConversion"/>
  </si>
  <si>
    <r>
      <rPr>
        <b/>
        <sz val="11"/>
        <rFont val="-소망L"/>
        <family val="1"/>
        <charset val="129"/>
      </rPr>
      <t>약
간</t>
    </r>
    <phoneticPr fontId="2" type="noConversion"/>
  </si>
  <si>
    <r>
      <rPr>
        <b/>
        <sz val="11"/>
        <rFont val="-소망L"/>
        <family val="1"/>
        <charset val="129"/>
      </rPr>
      <t>동
등</t>
    </r>
    <phoneticPr fontId="2" type="noConversion"/>
  </si>
  <si>
    <r>
      <rPr>
        <sz val="10"/>
        <rFont val="-소망L"/>
        <family val="1"/>
        <charset val="129"/>
      </rPr>
      <t>⑨</t>
    </r>
    <phoneticPr fontId="2" type="noConversion"/>
  </si>
  <si>
    <r>
      <rPr>
        <sz val="10"/>
        <rFont val="-소망L"/>
        <family val="1"/>
        <charset val="129"/>
      </rPr>
      <t>⑧</t>
    </r>
    <phoneticPr fontId="2" type="noConversion"/>
  </si>
  <si>
    <r>
      <rPr>
        <sz val="10"/>
        <rFont val="-소망L"/>
        <family val="1"/>
        <charset val="129"/>
      </rPr>
      <t>⑦</t>
    </r>
    <phoneticPr fontId="2" type="noConversion"/>
  </si>
  <si>
    <r>
      <rPr>
        <sz val="10"/>
        <rFont val="-소망L"/>
        <family val="1"/>
        <charset val="129"/>
      </rPr>
      <t>⑥</t>
    </r>
    <phoneticPr fontId="2" type="noConversion"/>
  </si>
  <si>
    <r>
      <rPr>
        <sz val="10"/>
        <rFont val="-소망L"/>
        <family val="1"/>
        <charset val="129"/>
      </rPr>
      <t>⑤</t>
    </r>
    <phoneticPr fontId="2" type="noConversion"/>
  </si>
  <si>
    <r>
      <rPr>
        <sz val="10"/>
        <rFont val="-소망L"/>
        <family val="1"/>
        <charset val="129"/>
      </rPr>
      <t>④</t>
    </r>
    <phoneticPr fontId="2" type="noConversion"/>
  </si>
  <si>
    <r>
      <rPr>
        <sz val="10"/>
        <rFont val="-소망L"/>
        <family val="1"/>
        <charset val="129"/>
      </rPr>
      <t>③</t>
    </r>
    <phoneticPr fontId="2" type="noConversion"/>
  </si>
  <si>
    <r>
      <rPr>
        <sz val="10"/>
        <rFont val="-소망L"/>
        <family val="1"/>
        <charset val="129"/>
      </rPr>
      <t>②</t>
    </r>
    <phoneticPr fontId="2" type="noConversion"/>
  </si>
  <si>
    <r>
      <rPr>
        <sz val="10"/>
        <rFont val="-소망L"/>
        <family val="1"/>
        <charset val="129"/>
      </rPr>
      <t>①</t>
    </r>
    <phoneticPr fontId="2" type="noConversion"/>
  </si>
  <si>
    <r>
      <rPr>
        <sz val="10"/>
        <rFont val="-소망L"/>
        <family val="1"/>
        <charset val="129"/>
      </rPr>
      <t>⑥</t>
    </r>
    <phoneticPr fontId="2" type="noConversion"/>
  </si>
  <si>
    <r>
      <rPr>
        <sz val="10"/>
        <rFont val="-소망L"/>
        <family val="1"/>
        <charset val="129"/>
      </rPr>
      <t>⑤</t>
    </r>
    <phoneticPr fontId="2" type="noConversion"/>
  </si>
  <si>
    <r>
      <rPr>
        <sz val="10"/>
        <rFont val="-소망L"/>
        <family val="1"/>
        <charset val="129"/>
      </rPr>
      <t>④</t>
    </r>
    <phoneticPr fontId="2" type="noConversion"/>
  </si>
  <si>
    <r>
      <rPr>
        <sz val="10"/>
        <rFont val="-소망L"/>
        <family val="1"/>
        <charset val="129"/>
      </rPr>
      <t>③</t>
    </r>
    <phoneticPr fontId="2" type="noConversion"/>
  </si>
  <si>
    <r>
      <rPr>
        <sz val="10"/>
        <rFont val="-소망L"/>
        <family val="1"/>
        <charset val="129"/>
      </rPr>
      <t>②</t>
    </r>
    <phoneticPr fontId="2" type="noConversion"/>
  </si>
  <si>
    <r>
      <rPr>
        <sz val="10"/>
        <rFont val="-소망L"/>
        <family val="1"/>
        <charset val="129"/>
      </rPr>
      <t>①</t>
    </r>
    <phoneticPr fontId="2" type="noConversion"/>
  </si>
  <si>
    <r>
      <rPr>
        <b/>
        <sz val="10"/>
        <rFont val="-소망L"/>
        <family val="1"/>
        <charset val="129"/>
      </rPr>
      <t>속성</t>
    </r>
    <r>
      <rPr>
        <b/>
        <sz val="10"/>
        <rFont val="Times New Roman"/>
        <family val="1"/>
      </rPr>
      <t>(Objective)</t>
    </r>
    <phoneticPr fontId="2" type="noConversion"/>
  </si>
  <si>
    <r>
      <rPr>
        <b/>
        <sz val="10"/>
        <rFont val="-소망L"/>
        <family val="1"/>
        <charset val="129"/>
      </rPr>
      <t>절
대</t>
    </r>
    <phoneticPr fontId="2" type="noConversion"/>
  </si>
  <si>
    <r>
      <rPr>
        <b/>
        <sz val="10"/>
        <rFont val="-소망L"/>
        <family val="1"/>
        <charset val="129"/>
      </rPr>
      <t>매
우</t>
    </r>
    <phoneticPr fontId="2" type="noConversion"/>
  </si>
  <si>
    <r>
      <rPr>
        <b/>
        <sz val="10"/>
        <rFont val="-소망L"/>
        <family val="1"/>
        <charset val="129"/>
      </rPr>
      <t>상
당</t>
    </r>
    <phoneticPr fontId="2" type="noConversion"/>
  </si>
  <si>
    <r>
      <rPr>
        <b/>
        <sz val="10"/>
        <rFont val="-소망L"/>
        <family val="1"/>
        <charset val="129"/>
      </rPr>
      <t>약
간</t>
    </r>
    <phoneticPr fontId="2" type="noConversion"/>
  </si>
  <si>
    <r>
      <rPr>
        <b/>
        <sz val="10"/>
        <rFont val="-소망L"/>
        <family val="1"/>
        <charset val="129"/>
      </rPr>
      <t>동
등</t>
    </r>
    <phoneticPr fontId="2" type="noConversion"/>
  </si>
  <si>
    <r>
      <rPr>
        <b/>
        <sz val="10"/>
        <rFont val="-소망L"/>
        <family val="1"/>
        <charset val="129"/>
      </rPr>
      <t>속성</t>
    </r>
    <r>
      <rPr>
        <b/>
        <sz val="10"/>
        <rFont val="Times New Roman"/>
        <family val="1"/>
      </rPr>
      <t>(Objective)</t>
    </r>
    <phoneticPr fontId="2" type="noConversion"/>
  </si>
  <si>
    <r>
      <rPr>
        <b/>
        <sz val="10"/>
        <rFont val="-소망L"/>
        <family val="1"/>
        <charset val="129"/>
      </rPr>
      <t>절
대</t>
    </r>
    <phoneticPr fontId="2" type="noConversion"/>
  </si>
  <si>
    <r>
      <rPr>
        <b/>
        <sz val="10"/>
        <rFont val="-소망L"/>
        <family val="1"/>
        <charset val="129"/>
      </rPr>
      <t>매
우</t>
    </r>
    <phoneticPr fontId="2" type="noConversion"/>
  </si>
  <si>
    <r>
      <rPr>
        <b/>
        <sz val="10"/>
        <rFont val="-소망L"/>
        <family val="1"/>
        <charset val="129"/>
      </rPr>
      <t>상
당</t>
    </r>
    <phoneticPr fontId="2" type="noConversion"/>
  </si>
  <si>
    <r>
      <rPr>
        <b/>
        <sz val="10"/>
        <rFont val="-소망L"/>
        <family val="1"/>
        <charset val="129"/>
      </rPr>
      <t>약
간</t>
    </r>
    <phoneticPr fontId="2" type="noConversion"/>
  </si>
  <si>
    <r>
      <rPr>
        <b/>
        <sz val="10"/>
        <rFont val="-소망L"/>
        <family val="1"/>
        <charset val="129"/>
      </rPr>
      <t>동
등</t>
    </r>
    <phoneticPr fontId="2" type="noConversion"/>
  </si>
  <si>
    <r>
      <rPr>
        <b/>
        <sz val="10"/>
        <rFont val="-소망L"/>
        <family val="1"/>
        <charset val="129"/>
      </rPr>
      <t>대안</t>
    </r>
    <r>
      <rPr>
        <b/>
        <sz val="10"/>
        <rFont val="Times New Roman"/>
        <family val="1"/>
      </rPr>
      <t>(Alternative)</t>
    </r>
    <phoneticPr fontId="2" type="noConversion"/>
  </si>
  <si>
    <t xml:space="preserve"> ALTERNATIVE CONCEPT#1</t>
    <phoneticPr fontId="2" type="noConversion"/>
  </si>
  <si>
    <t>Cost/Unit</t>
    <phoneticPr fontId="2" type="noConversion"/>
  </si>
  <si>
    <t xml:space="preserve"> Original Concept</t>
    <phoneticPr fontId="2" type="noConversion"/>
  </si>
  <si>
    <r>
      <t xml:space="preserve"> </t>
    </r>
    <r>
      <rPr>
        <sz val="10"/>
        <rFont val="굴림체"/>
        <family val="3"/>
        <charset val="129"/>
      </rPr>
      <t>직접공사비</t>
    </r>
    <phoneticPr fontId="2" type="noConversion"/>
  </si>
  <si>
    <t>LS</t>
    <phoneticPr fontId="2" type="noConversion"/>
  </si>
  <si>
    <t xml:space="preserve"> Alternative Concept #1</t>
    <phoneticPr fontId="2" type="noConversion"/>
  </si>
  <si>
    <t xml:space="preserve"> ALTERNATIVE CONCEPT#2</t>
    <phoneticPr fontId="2" type="noConversion"/>
  </si>
  <si>
    <t xml:space="preserve"> ALTERNATIVE CONCEPT#3</t>
    <phoneticPr fontId="2" type="noConversion"/>
  </si>
  <si>
    <t>PV</t>
    <phoneticPr fontId="2" type="noConversion"/>
  </si>
  <si>
    <t>SENSETIVILITY ANALYSIS</t>
    <phoneticPr fontId="2" type="noConversion"/>
  </si>
  <si>
    <r>
      <rPr>
        <sz val="11"/>
        <rFont val="-소망L"/>
        <family val="1"/>
        <charset val="129"/>
      </rPr>
      <t>분석기간</t>
    </r>
    <r>
      <rPr>
        <sz val="11"/>
        <rFont val="Times New Roman"/>
        <family val="1"/>
      </rPr>
      <t xml:space="preserve"> :</t>
    </r>
    <phoneticPr fontId="2" type="noConversion"/>
  </si>
  <si>
    <r>
      <rPr>
        <sz val="11"/>
        <rFont val="-소망L"/>
        <family val="1"/>
        <charset val="129"/>
      </rPr>
      <t>할인율</t>
    </r>
    <r>
      <rPr>
        <sz val="11"/>
        <rFont val="Times New Roman"/>
        <family val="1"/>
      </rPr>
      <t xml:space="preserve"> :</t>
    </r>
    <phoneticPr fontId="2" type="noConversion"/>
  </si>
  <si>
    <r>
      <rPr>
        <sz val="11"/>
        <color indexed="9"/>
        <rFont val="-소망L"/>
        <family val="1"/>
        <charset val="129"/>
      </rPr>
      <t>아이템</t>
    </r>
    <phoneticPr fontId="2" type="noConversion"/>
  </si>
  <si>
    <r>
      <rPr>
        <sz val="11"/>
        <color indexed="9"/>
        <rFont val="-소망L"/>
        <family val="1"/>
        <charset val="129"/>
      </rPr>
      <t>할인율</t>
    </r>
    <phoneticPr fontId="2" type="noConversion"/>
  </si>
  <si>
    <r>
      <rPr>
        <sz val="11"/>
        <color indexed="9"/>
        <rFont val="-소망L"/>
        <family val="1"/>
        <charset val="129"/>
      </rPr>
      <t>기간</t>
    </r>
    <phoneticPr fontId="2" type="noConversion"/>
  </si>
  <si>
    <r>
      <t xml:space="preserve">A. </t>
    </r>
    <r>
      <rPr>
        <b/>
        <sz val="11"/>
        <rFont val="-소망L"/>
        <family val="1"/>
        <charset val="129"/>
      </rPr>
      <t>할인율에</t>
    </r>
    <r>
      <rPr>
        <b/>
        <sz val="11"/>
        <rFont val="Times New Roman"/>
        <family val="1"/>
      </rPr>
      <t xml:space="preserve"> </t>
    </r>
    <r>
      <rPr>
        <b/>
        <sz val="11"/>
        <rFont val="-소망L"/>
        <family val="1"/>
        <charset val="129"/>
      </rPr>
      <t>따른</t>
    </r>
    <r>
      <rPr>
        <b/>
        <sz val="11"/>
        <rFont val="Times New Roman"/>
        <family val="1"/>
      </rPr>
      <t xml:space="preserve"> </t>
    </r>
    <r>
      <rPr>
        <b/>
        <sz val="11"/>
        <rFont val="-소망L"/>
        <family val="1"/>
        <charset val="129"/>
      </rPr>
      <t>민감도</t>
    </r>
    <r>
      <rPr>
        <b/>
        <sz val="11"/>
        <rFont val="Times New Roman"/>
        <family val="1"/>
      </rPr>
      <t xml:space="preserve"> </t>
    </r>
    <r>
      <rPr>
        <b/>
        <sz val="11"/>
        <rFont val="-소망L"/>
        <family val="1"/>
        <charset val="129"/>
      </rPr>
      <t>분석</t>
    </r>
    <phoneticPr fontId="2" type="noConversion"/>
  </si>
  <si>
    <r>
      <t xml:space="preserve">B. </t>
    </r>
    <r>
      <rPr>
        <b/>
        <sz val="11"/>
        <rFont val="-소망L"/>
        <family val="1"/>
        <charset val="129"/>
      </rPr>
      <t>분석기간에</t>
    </r>
    <r>
      <rPr>
        <b/>
        <sz val="11"/>
        <rFont val="Times New Roman"/>
        <family val="1"/>
      </rPr>
      <t xml:space="preserve"> </t>
    </r>
    <r>
      <rPr>
        <b/>
        <sz val="11"/>
        <rFont val="-소망L"/>
        <family val="1"/>
        <charset val="129"/>
      </rPr>
      <t>따른</t>
    </r>
    <r>
      <rPr>
        <b/>
        <sz val="11"/>
        <rFont val="Times New Roman"/>
        <family val="1"/>
      </rPr>
      <t xml:space="preserve"> </t>
    </r>
    <r>
      <rPr>
        <b/>
        <sz val="11"/>
        <rFont val="-소망L"/>
        <family val="1"/>
        <charset val="129"/>
      </rPr>
      <t>민감도</t>
    </r>
    <r>
      <rPr>
        <b/>
        <sz val="11"/>
        <rFont val="Times New Roman"/>
        <family val="1"/>
      </rPr>
      <t xml:space="preserve"> </t>
    </r>
    <r>
      <rPr>
        <b/>
        <sz val="11"/>
        <rFont val="-소망L"/>
        <family val="1"/>
        <charset val="129"/>
      </rPr>
      <t>분석</t>
    </r>
    <phoneticPr fontId="2" type="noConversion"/>
  </si>
  <si>
    <t>Performance</t>
    <phoneticPr fontId="2" type="noConversion"/>
  </si>
  <si>
    <t>Sub-Performance</t>
    <phoneticPr fontId="2" type="noConversion"/>
  </si>
  <si>
    <t>Rating</t>
    <phoneticPr fontId="2" type="noConversion"/>
  </si>
  <si>
    <t>Priority</t>
    <phoneticPr fontId="2" type="noConversion"/>
  </si>
  <si>
    <t>Original</t>
    <phoneticPr fontId="2" type="noConversion"/>
  </si>
  <si>
    <t>Alt.1</t>
    <phoneticPr fontId="2" type="noConversion"/>
  </si>
  <si>
    <t>Alt.2</t>
    <phoneticPr fontId="2" type="noConversion"/>
  </si>
  <si>
    <t>Alt.3</t>
    <phoneticPr fontId="2" type="noConversion"/>
  </si>
  <si>
    <t>Alt.#1</t>
    <phoneticPr fontId="2" type="noConversion"/>
  </si>
  <si>
    <t>Alt.#1 - Insert Description</t>
    <phoneticPr fontId="2" type="noConversion"/>
  </si>
  <si>
    <t>Alt.#2 - Insert Description</t>
    <phoneticPr fontId="2" type="noConversion"/>
  </si>
  <si>
    <t>Alt.#3 - Insert Description</t>
    <phoneticPr fontId="2" type="noConversion"/>
  </si>
  <si>
    <t>SUMMARY OF RESULT</t>
    <phoneticPr fontId="2" type="noConversion"/>
  </si>
  <si>
    <t>Cost
(C)</t>
    <phoneticPr fontId="2" type="noConversion"/>
  </si>
  <si>
    <t>% Change
Cost</t>
    <phoneticPr fontId="2" type="noConversion"/>
  </si>
  <si>
    <t>L1=</t>
    <phoneticPr fontId="2" type="noConversion"/>
  </si>
  <si>
    <t>P1=</t>
    <phoneticPr fontId="2" type="noConversion"/>
  </si>
  <si>
    <t>V1=</t>
    <phoneticPr fontId="2" type="noConversion"/>
  </si>
  <si>
    <t>L2=</t>
    <phoneticPr fontId="2" type="noConversion"/>
  </si>
  <si>
    <t>P2=</t>
    <phoneticPr fontId="2" type="noConversion"/>
  </si>
  <si>
    <t>V2=</t>
    <phoneticPr fontId="2" type="noConversion"/>
  </si>
  <si>
    <r>
      <t>LCC</t>
    </r>
    <r>
      <rPr>
        <b/>
        <sz val="14"/>
        <rFont val="-소망L"/>
        <family val="1"/>
        <charset val="129"/>
      </rPr>
      <t>절감·가치향상</t>
    </r>
    <r>
      <rPr>
        <b/>
        <sz val="14"/>
        <rFont val="Times New Roman"/>
        <family val="1"/>
      </rPr>
      <t xml:space="preserve"> </t>
    </r>
    <r>
      <rPr>
        <b/>
        <sz val="14"/>
        <rFont val="-소망L"/>
        <family val="1"/>
        <charset val="129"/>
      </rPr>
      <t>제안서</t>
    </r>
    <phoneticPr fontId="2" type="noConversion"/>
  </si>
  <si>
    <r>
      <rPr>
        <b/>
        <sz val="10"/>
        <rFont val="-소망L"/>
        <family val="1"/>
        <charset val="129"/>
      </rPr>
      <t>제안자명</t>
    </r>
    <phoneticPr fontId="2" type="noConversion"/>
  </si>
  <si>
    <r>
      <rPr>
        <b/>
        <sz val="10"/>
        <rFont val="-소망L"/>
        <family val="1"/>
        <charset val="129"/>
      </rPr>
      <t>제안내용</t>
    </r>
    <phoneticPr fontId="2" type="noConversion"/>
  </si>
  <si>
    <r>
      <rPr>
        <b/>
        <sz val="10"/>
        <rFont val="-소망L"/>
        <family val="1"/>
        <charset val="129"/>
      </rPr>
      <t>개</t>
    </r>
    <r>
      <rPr>
        <b/>
        <sz val="10"/>
        <rFont val="Times New Roman"/>
        <family val="1"/>
      </rPr>
      <t xml:space="preserve">  </t>
    </r>
    <r>
      <rPr>
        <b/>
        <sz val="10"/>
        <rFont val="-소망L"/>
        <family val="1"/>
        <charset val="129"/>
      </rPr>
      <t>선</t>
    </r>
    <r>
      <rPr>
        <b/>
        <sz val="10"/>
        <rFont val="Times New Roman"/>
        <family val="1"/>
      </rPr>
      <t xml:space="preserve">  </t>
    </r>
    <r>
      <rPr>
        <b/>
        <sz val="10"/>
        <rFont val="-소망L"/>
        <family val="1"/>
        <charset val="129"/>
      </rPr>
      <t>전</t>
    </r>
    <phoneticPr fontId="2" type="noConversion"/>
  </si>
  <si>
    <r>
      <rPr>
        <b/>
        <sz val="10"/>
        <rFont val="-소망L"/>
        <family val="1"/>
        <charset val="129"/>
      </rPr>
      <t>개</t>
    </r>
    <r>
      <rPr>
        <b/>
        <sz val="10"/>
        <rFont val="Times New Roman"/>
        <family val="1"/>
      </rPr>
      <t xml:space="preserve">  </t>
    </r>
    <r>
      <rPr>
        <b/>
        <sz val="10"/>
        <rFont val="-소망L"/>
        <family val="1"/>
        <charset val="129"/>
      </rPr>
      <t>선</t>
    </r>
    <r>
      <rPr>
        <b/>
        <sz val="10"/>
        <rFont val="Times New Roman"/>
        <family val="1"/>
      </rPr>
      <t xml:space="preserve">  </t>
    </r>
    <r>
      <rPr>
        <b/>
        <sz val="10"/>
        <rFont val="-소망L"/>
        <family val="1"/>
        <charset val="129"/>
      </rPr>
      <t>후</t>
    </r>
    <phoneticPr fontId="2" type="noConversion"/>
  </si>
  <si>
    <r>
      <rPr>
        <b/>
        <sz val="10"/>
        <rFont val="-소망L"/>
        <family val="1"/>
        <charset val="129"/>
      </rPr>
      <t>경
제
성
평
가
결
과</t>
    </r>
    <phoneticPr fontId="2" type="noConversion"/>
  </si>
  <si>
    <r>
      <rPr>
        <b/>
        <sz val="10"/>
        <rFont val="-소망L"/>
        <family val="1"/>
        <charset val="129"/>
      </rPr>
      <t>생애주기비용</t>
    </r>
    <r>
      <rPr>
        <b/>
        <sz val="10"/>
        <rFont val="Times New Roman"/>
        <family val="1"/>
      </rPr>
      <t xml:space="preserve">(LCC) </t>
    </r>
    <r>
      <rPr>
        <b/>
        <sz val="10"/>
        <rFont val="-소망L"/>
        <family val="1"/>
        <charset val="129"/>
      </rPr>
      <t>절감효과</t>
    </r>
    <phoneticPr fontId="2" type="noConversion"/>
  </si>
  <si>
    <r>
      <rPr>
        <b/>
        <sz val="10"/>
        <rFont val="-소망L"/>
        <family val="1"/>
        <charset val="129"/>
      </rPr>
      <t>가치향상효과</t>
    </r>
    <phoneticPr fontId="2" type="noConversion"/>
  </si>
  <si>
    <r>
      <rPr>
        <sz val="10"/>
        <rFont val="-소망L"/>
        <family val="1"/>
        <charset val="129"/>
      </rPr>
      <t xml:space="preserve">절감율
</t>
    </r>
    <r>
      <rPr>
        <sz val="10"/>
        <rFont val="Times New Roman"/>
        <family val="1"/>
      </rPr>
      <t>(</t>
    </r>
    <r>
      <rPr>
        <sz val="10"/>
        <rFont val="-소망L"/>
        <family val="1"/>
        <charset val="129"/>
      </rPr>
      <t>④</t>
    </r>
    <r>
      <rPr>
        <sz val="10"/>
        <rFont val="Times New Roman"/>
        <family val="1"/>
      </rPr>
      <t>/</t>
    </r>
    <r>
      <rPr>
        <sz val="10"/>
        <rFont val="-소망L"/>
        <family val="1"/>
        <charset val="129"/>
      </rPr>
      <t>③</t>
    </r>
    <r>
      <rPr>
        <sz val="10"/>
        <rFont val="Times New Roman"/>
        <family val="1"/>
      </rPr>
      <t>×100%)</t>
    </r>
    <phoneticPr fontId="2" type="noConversion"/>
  </si>
  <si>
    <r>
      <rPr>
        <sz val="10"/>
        <rFont val="-소망L"/>
        <family val="1"/>
        <charset val="129"/>
      </rPr>
      <t xml:space="preserve">가치향상도
</t>
    </r>
    <r>
      <rPr>
        <sz val="10"/>
        <rFont val="Times New Roman"/>
        <family val="1"/>
      </rPr>
      <t>{(V2-V1)/V1}×100%)</t>
    </r>
    <phoneticPr fontId="2" type="noConversion"/>
  </si>
  <si>
    <r>
      <rPr>
        <sz val="10"/>
        <rFont val="-소망L"/>
        <family val="1"/>
        <charset val="129"/>
      </rPr>
      <t>건설사업
비용</t>
    </r>
    <phoneticPr fontId="2" type="noConversion"/>
  </si>
  <si>
    <r>
      <rPr>
        <sz val="10"/>
        <rFont val="-소망L"/>
        <family val="1"/>
        <charset val="129"/>
      </rPr>
      <t>유지관리
비용</t>
    </r>
    <phoneticPr fontId="2" type="noConversion"/>
  </si>
  <si>
    <r>
      <rPr>
        <sz val="10"/>
        <rFont val="-소망L"/>
        <family val="1"/>
        <charset val="129"/>
      </rPr>
      <t>계</t>
    </r>
    <r>
      <rPr>
        <sz val="10"/>
        <rFont val="Times New Roman"/>
        <family val="1"/>
      </rPr>
      <t>(LCC)
(=</t>
    </r>
    <r>
      <rPr>
        <sz val="10"/>
        <rFont val="-소망L"/>
        <family val="1"/>
        <charset val="129"/>
      </rPr>
      <t>①</t>
    </r>
    <r>
      <rPr>
        <sz val="10"/>
        <rFont val="Times New Roman"/>
        <family val="1"/>
      </rPr>
      <t>+</t>
    </r>
    <r>
      <rPr>
        <sz val="10"/>
        <rFont val="-소망L"/>
        <family val="1"/>
        <charset val="129"/>
      </rPr>
      <t>②</t>
    </r>
    <r>
      <rPr>
        <sz val="10"/>
        <rFont val="Times New Roman"/>
        <family val="1"/>
      </rPr>
      <t>)</t>
    </r>
    <phoneticPr fontId="2" type="noConversion"/>
  </si>
  <si>
    <r>
      <rPr>
        <sz val="10"/>
        <rFont val="-소망L"/>
        <family val="1"/>
        <charset val="129"/>
      </rPr>
      <t xml:space="preserve">절감액
</t>
    </r>
    <r>
      <rPr>
        <sz val="10"/>
        <rFont val="Times New Roman"/>
        <family val="1"/>
      </rPr>
      <t>(=L1-L2)</t>
    </r>
    <phoneticPr fontId="2" type="noConversion"/>
  </si>
  <si>
    <r>
      <rPr>
        <sz val="10"/>
        <rFont val="-소망L"/>
        <family val="1"/>
        <charset val="129"/>
      </rPr>
      <t xml:space="preserve">성능점수
</t>
    </r>
    <r>
      <rPr>
        <sz val="10"/>
        <rFont val="Times New Roman"/>
        <family val="1"/>
      </rPr>
      <t>[P](</t>
    </r>
    <r>
      <rPr>
        <sz val="10"/>
        <rFont val="-소망L"/>
        <family val="1"/>
        <charset val="129"/>
      </rPr>
      <t>점</t>
    </r>
    <r>
      <rPr>
        <sz val="10"/>
        <rFont val="Times New Roman"/>
        <family val="1"/>
      </rPr>
      <t>)</t>
    </r>
    <phoneticPr fontId="2" type="noConversion"/>
  </si>
  <si>
    <r>
      <rPr>
        <sz val="10"/>
        <rFont val="-소망L"/>
        <family val="1"/>
        <charset val="129"/>
      </rPr>
      <t xml:space="preserve">가치점수
</t>
    </r>
    <r>
      <rPr>
        <sz val="10"/>
        <rFont val="Times New Roman"/>
        <family val="1"/>
      </rPr>
      <t>[V](</t>
    </r>
    <r>
      <rPr>
        <sz val="10"/>
        <rFont val="-소망L"/>
        <family val="1"/>
        <charset val="129"/>
      </rPr>
      <t>점</t>
    </r>
    <r>
      <rPr>
        <sz val="10"/>
        <rFont val="Times New Roman"/>
        <family val="1"/>
      </rPr>
      <t>)</t>
    </r>
    <phoneticPr fontId="2" type="noConversion"/>
  </si>
  <si>
    <r>
      <rPr>
        <b/>
        <sz val="10"/>
        <rFont val="-소망L"/>
        <family val="1"/>
        <charset val="129"/>
      </rPr>
      <t>개선전</t>
    </r>
    <phoneticPr fontId="2" type="noConversion"/>
  </si>
  <si>
    <r>
      <rPr>
        <b/>
        <sz val="10"/>
        <rFont val="-소망L"/>
        <family val="1"/>
        <charset val="129"/>
      </rPr>
      <t>개선후</t>
    </r>
    <phoneticPr fontId="2" type="noConversion"/>
  </si>
  <si>
    <r>
      <rPr>
        <b/>
        <sz val="10"/>
        <rFont val="-소망L"/>
        <family val="1"/>
        <charset val="129"/>
      </rPr>
      <t>제안의
특</t>
    </r>
    <r>
      <rPr>
        <b/>
        <sz val="10"/>
        <rFont val="Times New Roman"/>
        <family val="1"/>
      </rPr>
      <t xml:space="preserve">     </t>
    </r>
    <r>
      <rPr>
        <b/>
        <sz val="10"/>
        <rFont val="-소망L"/>
        <family val="1"/>
        <charset val="129"/>
      </rPr>
      <t>징</t>
    </r>
    <phoneticPr fontId="2" type="noConversion"/>
  </si>
  <si>
    <r>
      <rPr>
        <b/>
        <sz val="10"/>
        <rFont val="-소망L"/>
        <family val="1"/>
        <charset val="129"/>
      </rPr>
      <t>장</t>
    </r>
    <r>
      <rPr>
        <b/>
        <sz val="10"/>
        <rFont val="Times New Roman"/>
        <family val="1"/>
      </rPr>
      <t xml:space="preserve">     </t>
    </r>
    <r>
      <rPr>
        <b/>
        <sz val="10"/>
        <rFont val="-소망L"/>
        <family val="1"/>
        <charset val="129"/>
      </rPr>
      <t>점</t>
    </r>
    <phoneticPr fontId="2" type="noConversion"/>
  </si>
  <si>
    <r>
      <rPr>
        <b/>
        <sz val="10"/>
        <rFont val="-소망L"/>
        <family val="1"/>
        <charset val="129"/>
      </rPr>
      <t>단</t>
    </r>
    <r>
      <rPr>
        <b/>
        <sz val="10"/>
        <rFont val="Times New Roman"/>
        <family val="1"/>
      </rPr>
      <t xml:space="preserve">     </t>
    </r>
    <r>
      <rPr>
        <b/>
        <sz val="10"/>
        <rFont val="-소망L"/>
        <family val="1"/>
        <charset val="129"/>
      </rPr>
      <t>점</t>
    </r>
    <phoneticPr fontId="2" type="noConversion"/>
  </si>
  <si>
    <r>
      <rPr>
        <b/>
        <sz val="10"/>
        <rFont val="-소망L"/>
        <family val="1"/>
        <charset val="129"/>
      </rPr>
      <t>시공시</t>
    </r>
    <r>
      <rPr>
        <b/>
        <sz val="10"/>
        <rFont val="Times New Roman"/>
        <family val="1"/>
      </rPr>
      <t xml:space="preserve"> </t>
    </r>
    <r>
      <rPr>
        <b/>
        <sz val="10"/>
        <rFont val="-소망L"/>
        <family val="1"/>
        <charset val="129"/>
      </rPr>
      <t>주의할</t>
    </r>
    <r>
      <rPr>
        <b/>
        <sz val="10"/>
        <rFont val="Times New Roman"/>
        <family val="1"/>
      </rPr>
      <t xml:space="preserve"> </t>
    </r>
    <r>
      <rPr>
        <b/>
        <sz val="10"/>
        <rFont val="-소망L"/>
        <family val="1"/>
        <charset val="129"/>
      </rPr>
      <t>점</t>
    </r>
    <phoneticPr fontId="2" type="noConversion"/>
  </si>
  <si>
    <r>
      <rPr>
        <sz val="10"/>
        <rFont val="-소망L"/>
        <family val="1"/>
        <charset val="129"/>
      </rPr>
      <t>※유지관리비용은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현재가치를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기입함</t>
    </r>
    <phoneticPr fontId="2" type="noConversion"/>
  </si>
  <si>
    <r>
      <rPr>
        <sz val="10"/>
        <rFont val="-소망L"/>
        <family val="1"/>
        <charset val="129"/>
      </rPr>
      <t>※생애주기비용으로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설계의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경제성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검토가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불가피한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경우『건설사업비용절감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제안서』로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대체</t>
    </r>
    <phoneticPr fontId="2" type="noConversion"/>
  </si>
  <si>
    <r>
      <rPr>
        <b/>
        <sz val="10"/>
        <rFont val="-소망L"/>
        <family val="1"/>
        <charset val="129"/>
      </rPr>
      <t>효</t>
    </r>
    <r>
      <rPr>
        <b/>
        <sz val="10"/>
        <rFont val="Times New Roman"/>
        <family val="1"/>
      </rPr>
      <t xml:space="preserve">    </t>
    </r>
    <r>
      <rPr>
        <b/>
        <sz val="10"/>
        <rFont val="-소망L"/>
        <family val="1"/>
        <charset val="129"/>
      </rPr>
      <t xml:space="preserve">과
</t>
    </r>
    <r>
      <rPr>
        <b/>
        <sz val="10"/>
        <rFont val="Times New Roman"/>
        <family val="1"/>
      </rPr>
      <t>(</t>
    </r>
    <r>
      <rPr>
        <b/>
        <sz val="10"/>
        <rFont val="-소망L"/>
        <family val="1"/>
        <charset val="129"/>
      </rPr>
      <t>기술성</t>
    </r>
    <r>
      <rPr>
        <b/>
        <sz val="10"/>
        <rFont val="Times New Roman"/>
        <family val="1"/>
      </rPr>
      <t>)</t>
    </r>
    <phoneticPr fontId="2" type="noConversion"/>
  </si>
  <si>
    <r>
      <rPr>
        <b/>
        <sz val="10"/>
        <rFont val="-소망L"/>
        <family val="1"/>
        <charset val="129"/>
      </rPr>
      <t>사</t>
    </r>
    <r>
      <rPr>
        <b/>
        <sz val="10"/>
        <rFont val="Times New Roman"/>
        <family val="1"/>
      </rPr>
      <t xml:space="preserve">   </t>
    </r>
    <r>
      <rPr>
        <b/>
        <sz val="10"/>
        <rFont val="-소망L"/>
        <family val="1"/>
        <charset val="129"/>
      </rPr>
      <t>업</t>
    </r>
    <r>
      <rPr>
        <b/>
        <sz val="10"/>
        <rFont val="Times New Roman"/>
        <family val="1"/>
      </rPr>
      <t xml:space="preserve">   </t>
    </r>
    <r>
      <rPr>
        <b/>
        <sz val="10"/>
        <rFont val="-소망L"/>
        <family val="1"/>
        <charset val="129"/>
      </rPr>
      <t>명</t>
    </r>
    <phoneticPr fontId="2" type="noConversion"/>
  </si>
  <si>
    <t>Rating Rationale - Original Concept</t>
    <phoneticPr fontId="2" type="noConversion"/>
  </si>
  <si>
    <t>LS</t>
    <phoneticPr fontId="2" type="noConversion"/>
  </si>
  <si>
    <t xml:space="preserve">TOTAL (hundred million won) </t>
    <phoneticPr fontId="2" type="noConversion"/>
  </si>
  <si>
    <r>
      <t xml:space="preserve"> </t>
    </r>
    <r>
      <rPr>
        <sz val="10"/>
        <rFont val="굴림체"/>
        <family val="3"/>
        <charset val="129"/>
      </rPr>
      <t>보상비</t>
    </r>
    <r>
      <rPr>
        <sz val="10"/>
        <rFont val="Times New Roman"/>
        <family val="1"/>
      </rPr>
      <t>(</t>
    </r>
    <r>
      <rPr>
        <sz val="10"/>
        <rFont val="굴림체"/>
        <family val="3"/>
        <charset val="129"/>
      </rPr>
      <t>제외</t>
    </r>
    <r>
      <rPr>
        <sz val="10"/>
        <rFont val="Times New Roman"/>
        <family val="1"/>
      </rPr>
      <t>)</t>
    </r>
    <phoneticPr fontId="2" type="noConversion"/>
  </si>
  <si>
    <r>
      <t xml:space="preserve"> </t>
    </r>
    <r>
      <rPr>
        <sz val="10"/>
        <rFont val="굴림체"/>
        <family val="3"/>
        <charset val="129"/>
      </rPr>
      <t>설계</t>
    </r>
    <r>
      <rPr>
        <sz val="10"/>
        <rFont val="Times New Roman"/>
        <family val="1"/>
      </rPr>
      <t>/</t>
    </r>
    <r>
      <rPr>
        <sz val="10"/>
        <rFont val="굴림체"/>
        <family val="3"/>
        <charset val="129"/>
      </rPr>
      <t>감리비</t>
    </r>
    <r>
      <rPr>
        <sz val="10"/>
        <rFont val="Times New Roman"/>
        <family val="1"/>
      </rPr>
      <t>(</t>
    </r>
    <r>
      <rPr>
        <sz val="10"/>
        <rFont val="굴림체"/>
        <family val="3"/>
        <charset val="129"/>
      </rPr>
      <t>공사비</t>
    </r>
    <r>
      <rPr>
        <sz val="10"/>
        <rFont val="Times New Roman"/>
        <family val="1"/>
      </rPr>
      <t>×3%)</t>
    </r>
    <phoneticPr fontId="2" type="noConversion"/>
  </si>
  <si>
    <r>
      <t xml:space="preserve"> </t>
    </r>
    <r>
      <rPr>
        <sz val="10"/>
        <rFont val="굴림체"/>
        <family val="3"/>
        <charset val="129"/>
      </rPr>
      <t>측량</t>
    </r>
    <r>
      <rPr>
        <sz val="10"/>
        <rFont val="Times New Roman"/>
        <family val="1"/>
      </rPr>
      <t>/</t>
    </r>
    <r>
      <rPr>
        <sz val="10"/>
        <rFont val="굴림체"/>
        <family val="3"/>
        <charset val="129"/>
      </rPr>
      <t>조사비</t>
    </r>
    <r>
      <rPr>
        <sz val="10"/>
        <rFont val="Times New Roman"/>
        <family val="1"/>
      </rPr>
      <t>(</t>
    </r>
    <r>
      <rPr>
        <sz val="10"/>
        <rFont val="굴림체"/>
        <family val="3"/>
        <charset val="129"/>
      </rPr>
      <t>공사비</t>
    </r>
    <r>
      <rPr>
        <sz val="10"/>
        <rFont val="Times New Roman"/>
        <family val="1"/>
      </rPr>
      <t>×1%)</t>
    </r>
    <phoneticPr fontId="2" type="noConversion"/>
  </si>
  <si>
    <t xml:space="preserve"> Alternative Concept #2</t>
    <phoneticPr fontId="2" type="noConversion"/>
  </si>
  <si>
    <t xml:space="preserve"> Alternative Concept #3</t>
    <phoneticPr fontId="2" type="noConversion"/>
  </si>
  <si>
    <r>
      <t>□</t>
    </r>
    <r>
      <rPr>
        <b/>
        <sz val="12"/>
        <rFont val="Times New Roman"/>
        <family val="1"/>
      </rPr>
      <t xml:space="preserve"> </t>
    </r>
    <r>
      <rPr>
        <b/>
        <sz val="12"/>
        <rFont val="-소망L"/>
        <family val="1"/>
        <charset val="129"/>
      </rPr>
      <t>제안서번호</t>
    </r>
    <r>
      <rPr>
        <b/>
        <sz val="12"/>
        <rFont val="Times New Roman"/>
        <family val="1"/>
      </rPr>
      <t>/</t>
    </r>
    <r>
      <rPr>
        <b/>
        <sz val="12"/>
        <rFont val="-소망L"/>
        <family val="1"/>
        <charset val="129"/>
      </rPr>
      <t>제안명</t>
    </r>
    <r>
      <rPr>
        <b/>
        <sz val="12"/>
        <rFont val="Times New Roman"/>
        <family val="1"/>
      </rPr>
      <t xml:space="preserve"> : VE1-01/</t>
    </r>
    <r>
      <rPr>
        <b/>
        <sz val="12"/>
        <rFont val="-소망L"/>
        <family val="1"/>
        <charset val="129"/>
      </rPr>
      <t>교량형식</t>
    </r>
    <r>
      <rPr>
        <b/>
        <sz val="12"/>
        <rFont val="Times New Roman"/>
        <family val="1"/>
      </rPr>
      <t xml:space="preserve"> </t>
    </r>
    <r>
      <rPr>
        <b/>
        <sz val="12"/>
        <rFont val="-소망L"/>
        <family val="1"/>
        <charset val="129"/>
      </rPr>
      <t>개선</t>
    </r>
    <phoneticPr fontId="2" type="noConversion"/>
  </si>
  <si>
    <t xml:space="preserve"> Original Concept</t>
  </si>
  <si>
    <t xml:space="preserve"> Alternative Concept #1</t>
  </si>
  <si>
    <t xml:space="preserve"> Alternative Concept #2</t>
  </si>
  <si>
    <t xml:space="preserve"> Alternative Concept #3</t>
  </si>
  <si>
    <t xml:space="preserve"> 평가사유</t>
    <phoneticPr fontId="2" type="noConversion"/>
  </si>
  <si>
    <t>Rating</t>
    <phoneticPr fontId="2" type="noConversion"/>
  </si>
  <si>
    <r>
      <t xml:space="preserve">   1. </t>
    </r>
    <r>
      <rPr>
        <sz val="10"/>
        <rFont val="굴림체"/>
        <family val="3"/>
        <charset val="129"/>
      </rPr>
      <t>운영비</t>
    </r>
    <r>
      <rPr>
        <sz val="10"/>
        <rFont val="Times New Roman"/>
        <family val="1"/>
      </rPr>
      <t/>
    </r>
    <phoneticPr fontId="2" type="noConversion"/>
  </si>
  <si>
    <r>
      <t xml:space="preserve">   2. </t>
    </r>
    <r>
      <rPr>
        <sz val="10"/>
        <rFont val="굴림체"/>
        <family val="3"/>
        <charset val="129"/>
      </rPr>
      <t>수선유지비</t>
    </r>
    <r>
      <rPr>
        <sz val="10"/>
        <rFont val="Times New Roman"/>
        <family val="1"/>
      </rPr>
      <t/>
    </r>
    <phoneticPr fontId="2" type="noConversion"/>
  </si>
  <si>
    <r>
      <t xml:space="preserve">   3. </t>
    </r>
    <r>
      <rPr>
        <sz val="10"/>
        <rFont val="굴림체"/>
        <family val="3"/>
        <charset val="129"/>
      </rPr>
      <t>교량보수비</t>
    </r>
    <r>
      <rPr>
        <sz val="10"/>
        <rFont val="Times New Roman"/>
        <family val="1"/>
      </rPr>
      <t/>
    </r>
    <phoneticPr fontId="2" type="noConversion"/>
  </si>
  <si>
    <r>
      <t xml:space="preserve">   4. </t>
    </r>
    <r>
      <rPr>
        <sz val="10"/>
        <rFont val="굴림체"/>
        <family val="3"/>
        <charset val="129"/>
      </rPr>
      <t>터널보수비</t>
    </r>
    <r>
      <rPr>
        <sz val="10"/>
        <rFont val="Times New Roman"/>
        <family val="1"/>
      </rPr>
      <t/>
    </r>
    <phoneticPr fontId="2" type="noConversion"/>
  </si>
  <si>
    <r>
      <t xml:space="preserve">   5. </t>
    </r>
    <r>
      <rPr>
        <sz val="10"/>
        <rFont val="굴림체"/>
        <family val="3"/>
        <charset val="129"/>
      </rPr>
      <t>포장보수비</t>
    </r>
    <r>
      <rPr>
        <sz val="10"/>
        <rFont val="Times New Roman"/>
        <family val="1"/>
      </rPr>
      <t/>
    </r>
    <phoneticPr fontId="2" type="noConversion"/>
  </si>
  <si>
    <r>
      <t xml:space="preserve">   6. </t>
    </r>
    <r>
      <rPr>
        <sz val="10"/>
        <rFont val="굴림체"/>
        <family val="3"/>
        <charset val="129"/>
      </rPr>
      <t>도로개량비</t>
    </r>
    <r>
      <rPr>
        <sz val="10"/>
        <rFont val="Times New Roman"/>
        <family val="1"/>
      </rPr>
      <t/>
    </r>
    <phoneticPr fontId="2" type="noConversion"/>
  </si>
  <si>
    <t>1.  General Operations &amp; Maintenance</t>
    <phoneticPr fontId="2" type="noConversion"/>
  </si>
  <si>
    <r>
      <t xml:space="preserve"> </t>
    </r>
    <r>
      <rPr>
        <sz val="10"/>
        <rFont val="굴림체"/>
        <family val="3"/>
        <charset val="129"/>
      </rPr>
      <t>간접공사비</t>
    </r>
    <r>
      <rPr>
        <sz val="10"/>
        <rFont val="Times New Roman"/>
        <family val="1"/>
      </rPr>
      <t>(</t>
    </r>
    <r>
      <rPr>
        <sz val="10"/>
        <rFont val="굴림체"/>
        <family val="3"/>
        <charset val="129"/>
      </rPr>
      <t>직접공사비</t>
    </r>
    <r>
      <rPr>
        <sz val="10"/>
        <rFont val="Times New Roman"/>
        <family val="1"/>
      </rPr>
      <t>×16.28%)</t>
    </r>
    <phoneticPr fontId="2" type="noConversion"/>
  </si>
  <si>
    <r>
      <t xml:space="preserve"> </t>
    </r>
    <r>
      <rPr>
        <sz val="10"/>
        <rFont val="굴림체"/>
        <family val="3"/>
        <charset val="129"/>
      </rPr>
      <t>관리비</t>
    </r>
    <r>
      <rPr>
        <sz val="10"/>
        <rFont val="Times New Roman"/>
        <family val="1"/>
      </rPr>
      <t>/</t>
    </r>
    <r>
      <rPr>
        <sz val="10"/>
        <rFont val="굴림체"/>
        <family val="3"/>
        <charset val="129"/>
      </rPr>
      <t>이윤</t>
    </r>
    <r>
      <rPr>
        <sz val="10"/>
        <rFont val="Times New Roman"/>
        <family val="1"/>
      </rPr>
      <t>(</t>
    </r>
    <r>
      <rPr>
        <sz val="10"/>
        <rFont val="굴림체"/>
        <family val="3"/>
        <charset val="129"/>
      </rPr>
      <t>직접공사비</t>
    </r>
    <r>
      <rPr>
        <sz val="10"/>
        <rFont val="Times New Roman"/>
        <family val="1"/>
      </rPr>
      <t>×12.60%)</t>
    </r>
    <phoneticPr fontId="2" type="noConversion"/>
  </si>
  <si>
    <t xml:space="preserve"> 이천~오산 고속도로 민간투자사업(BTO)</t>
    <phoneticPr fontId="2" type="noConversion"/>
  </si>
  <si>
    <t xml:space="preserve"> 도로부</t>
    <phoneticPr fontId="2" type="noConversion"/>
  </si>
  <si>
    <t>LS</t>
    <phoneticPr fontId="2" type="noConversion"/>
  </si>
  <si>
    <r>
      <t xml:space="preserve">VE Title : </t>
    </r>
    <r>
      <rPr>
        <b/>
        <i/>
        <sz val="12"/>
        <rFont val="바탕"/>
        <family val="1"/>
        <charset val="129"/>
      </rPr>
      <t/>
    </r>
    <phoneticPr fontId="2" type="noConversion"/>
  </si>
  <si>
    <r>
      <rPr>
        <sz val="10"/>
        <rFont val="08서울한강체 L"/>
        <family val="1"/>
        <charset val="129"/>
      </rPr>
      <t>행곱</t>
    </r>
    <phoneticPr fontId="2" type="noConversion"/>
  </si>
  <si>
    <r>
      <rPr>
        <sz val="10"/>
        <rFont val="08서울한강체 L"/>
        <family val="1"/>
        <charset val="129"/>
      </rPr>
      <t>평균</t>
    </r>
    <phoneticPr fontId="2" type="noConversion"/>
  </si>
  <si>
    <r>
      <t xml:space="preserve">A. </t>
    </r>
    <r>
      <rPr>
        <sz val="11"/>
        <color indexed="12"/>
        <rFont val="08서울한강체 L"/>
        <family val="1"/>
        <charset val="129"/>
      </rPr>
      <t>입력값</t>
    </r>
    <r>
      <rPr>
        <sz val="11"/>
        <color indexed="12"/>
        <rFont val="Book Antiqua"/>
        <family val="1"/>
      </rPr>
      <t xml:space="preserve"> </t>
    </r>
    <r>
      <rPr>
        <sz val="11"/>
        <color indexed="12"/>
        <rFont val="08서울한강체 L"/>
        <family val="1"/>
        <charset val="129"/>
      </rPr>
      <t>평균법</t>
    </r>
    <phoneticPr fontId="2" type="noConversion"/>
  </si>
  <si>
    <r>
      <rPr>
        <sz val="10"/>
        <rFont val="08서울한강체 L"/>
        <family val="1"/>
        <charset val="129"/>
      </rPr>
      <t>평</t>
    </r>
    <r>
      <rPr>
        <sz val="10"/>
        <rFont val="Book Antiqua"/>
        <family val="1"/>
      </rPr>
      <t xml:space="preserve">  </t>
    </r>
    <r>
      <rPr>
        <sz val="10"/>
        <rFont val="08서울한강체 L"/>
        <family val="1"/>
        <charset val="129"/>
      </rPr>
      <t>가</t>
    </r>
    <r>
      <rPr>
        <sz val="10"/>
        <rFont val="Book Antiqua"/>
        <family val="1"/>
      </rPr>
      <t xml:space="preserve">  </t>
    </r>
    <r>
      <rPr>
        <sz val="10"/>
        <rFont val="08서울한강체 L"/>
        <family val="1"/>
        <charset val="129"/>
      </rPr>
      <t>항</t>
    </r>
    <r>
      <rPr>
        <sz val="10"/>
        <rFont val="Book Antiqua"/>
        <family val="1"/>
      </rPr>
      <t xml:space="preserve">  </t>
    </r>
    <r>
      <rPr>
        <sz val="10"/>
        <rFont val="08서울한강체 L"/>
        <family val="1"/>
        <charset val="129"/>
      </rPr>
      <t>목</t>
    </r>
    <phoneticPr fontId="2" type="noConversion"/>
  </si>
  <si>
    <r>
      <rPr>
        <b/>
        <sz val="10"/>
        <rFont val="08서울한강체 L"/>
        <family val="1"/>
        <charset val="129"/>
      </rPr>
      <t>확정치</t>
    </r>
    <r>
      <rPr>
        <b/>
        <sz val="10"/>
        <rFont val="Book Antiqua"/>
        <family val="1"/>
      </rPr>
      <t>(%)</t>
    </r>
    <phoneticPr fontId="2" type="noConversion"/>
  </si>
  <si>
    <r>
      <rPr>
        <sz val="10"/>
        <rFont val="08서울한강체 L"/>
        <family val="1"/>
        <charset val="129"/>
      </rPr>
      <t>열</t>
    </r>
    <r>
      <rPr>
        <sz val="10"/>
        <rFont val="Book Antiqua"/>
        <family val="1"/>
      </rPr>
      <t>(Column)</t>
    </r>
    <r>
      <rPr>
        <sz val="10"/>
        <rFont val="08서울한강체 L"/>
        <family val="1"/>
        <charset val="129"/>
      </rPr>
      <t>합</t>
    </r>
    <phoneticPr fontId="2" type="noConversion"/>
  </si>
  <si>
    <r>
      <t xml:space="preserve">  </t>
    </r>
    <r>
      <rPr>
        <sz val="10"/>
        <color indexed="12"/>
        <rFont val="08서울한강체 L"/>
        <family val="1"/>
        <charset val="129"/>
      </rPr>
      <t>▶</t>
    </r>
    <r>
      <rPr>
        <sz val="10"/>
        <color indexed="12"/>
        <rFont val="Book Antiqua"/>
        <family val="1"/>
      </rPr>
      <t xml:space="preserve"> λmax     =</t>
    </r>
    <phoneticPr fontId="2" type="noConversion"/>
  </si>
  <si>
    <r>
      <rPr>
        <sz val="10"/>
        <rFont val="08서울한강체 L"/>
        <family val="1"/>
        <charset val="129"/>
      </rPr>
      <t>☜</t>
    </r>
    <r>
      <rPr>
        <sz val="10"/>
        <rFont val="Book Antiqua"/>
        <family val="1"/>
      </rPr>
      <t xml:space="preserve"> Pairwise Comparison Matrices</t>
    </r>
    <r>
      <rPr>
        <sz val="10"/>
        <rFont val="08서울한강체 L"/>
        <family val="1"/>
        <charset val="129"/>
      </rPr>
      <t>의</t>
    </r>
    <r>
      <rPr>
        <sz val="10"/>
        <rFont val="Book Antiqua"/>
        <family val="1"/>
      </rPr>
      <t xml:space="preserve"> </t>
    </r>
    <r>
      <rPr>
        <sz val="10"/>
        <rFont val="08서울한강체 L"/>
        <family val="1"/>
        <charset val="129"/>
      </rPr>
      <t>열합행렬</t>
    </r>
    <r>
      <rPr>
        <sz val="10"/>
        <rFont val="Book Antiqua"/>
        <family val="1"/>
      </rPr>
      <t>(1</t>
    </r>
    <r>
      <rPr>
        <sz val="10"/>
        <rFont val="08서울한강체 L"/>
        <family val="1"/>
        <charset val="129"/>
      </rPr>
      <t>행</t>
    </r>
    <r>
      <rPr>
        <sz val="10"/>
        <rFont val="Book Antiqua"/>
        <family val="1"/>
      </rPr>
      <t>×8</t>
    </r>
    <r>
      <rPr>
        <sz val="10"/>
        <rFont val="08서울한강체 L"/>
        <family val="1"/>
        <charset val="129"/>
      </rPr>
      <t>열</t>
    </r>
    <r>
      <rPr>
        <sz val="10"/>
        <rFont val="Book Antiqua"/>
        <family val="1"/>
      </rPr>
      <t>)</t>
    </r>
    <r>
      <rPr>
        <sz val="10"/>
        <rFont val="08서울한강체 L"/>
        <family val="1"/>
        <charset val="129"/>
      </rPr>
      <t>과</t>
    </r>
    <r>
      <rPr>
        <sz val="10"/>
        <rFont val="Book Antiqua"/>
        <family val="1"/>
      </rPr>
      <t xml:space="preserve"> Priority Veoctor(8</t>
    </r>
    <r>
      <rPr>
        <sz val="10"/>
        <rFont val="08서울한강체 L"/>
        <family val="1"/>
        <charset val="129"/>
      </rPr>
      <t>행</t>
    </r>
    <r>
      <rPr>
        <sz val="10"/>
        <rFont val="Book Antiqua"/>
        <family val="1"/>
      </rPr>
      <t>×1</t>
    </r>
    <r>
      <rPr>
        <sz val="10"/>
        <rFont val="08서울한강체 L"/>
        <family val="1"/>
        <charset val="129"/>
      </rPr>
      <t>열</t>
    </r>
    <r>
      <rPr>
        <sz val="10"/>
        <rFont val="Book Antiqua"/>
        <family val="1"/>
      </rPr>
      <t>)</t>
    </r>
    <r>
      <rPr>
        <sz val="10"/>
        <rFont val="08서울한강체 L"/>
        <family val="1"/>
        <charset val="129"/>
      </rPr>
      <t>의</t>
    </r>
    <r>
      <rPr>
        <sz val="10"/>
        <rFont val="Book Antiqua"/>
        <family val="1"/>
      </rPr>
      <t xml:space="preserve"> </t>
    </r>
    <r>
      <rPr>
        <sz val="10"/>
        <rFont val="08서울한강체 L"/>
        <family val="1"/>
        <charset val="129"/>
      </rPr>
      <t>행렬곱</t>
    </r>
    <phoneticPr fontId="2" type="noConversion"/>
  </si>
  <si>
    <r>
      <t xml:space="preserve">  </t>
    </r>
    <r>
      <rPr>
        <sz val="10"/>
        <color indexed="12"/>
        <rFont val="08서울한강체 L"/>
        <family val="1"/>
        <charset val="129"/>
      </rPr>
      <t>▶</t>
    </r>
    <r>
      <rPr>
        <sz val="10"/>
        <color indexed="12"/>
        <rFont val="Book Antiqua"/>
        <family val="1"/>
      </rPr>
      <t xml:space="preserve"> CI           =</t>
    </r>
    <phoneticPr fontId="2" type="noConversion"/>
  </si>
  <si>
    <r>
      <rPr>
        <sz val="10"/>
        <rFont val="08서울한강체 L"/>
        <family val="1"/>
        <charset val="129"/>
      </rPr>
      <t>☜</t>
    </r>
    <r>
      <rPr>
        <sz val="10"/>
        <rFont val="Book Antiqua"/>
        <family val="1"/>
      </rPr>
      <t xml:space="preserve"> CI = (λmax - N) / (N-1)</t>
    </r>
    <phoneticPr fontId="2" type="noConversion"/>
  </si>
  <si>
    <r>
      <t xml:space="preserve">  </t>
    </r>
    <r>
      <rPr>
        <sz val="10"/>
        <color indexed="12"/>
        <rFont val="08서울한강체 L"/>
        <family val="1"/>
        <charset val="129"/>
      </rPr>
      <t>▶</t>
    </r>
    <r>
      <rPr>
        <sz val="10"/>
        <color indexed="12"/>
        <rFont val="Book Antiqua"/>
        <family val="1"/>
      </rPr>
      <t xml:space="preserve"> CR          =</t>
    </r>
    <phoneticPr fontId="2" type="noConversion"/>
  </si>
  <si>
    <r>
      <rPr>
        <sz val="10"/>
        <rFont val="08서울한강체 L"/>
        <family val="1"/>
        <charset val="129"/>
      </rPr>
      <t>☜</t>
    </r>
    <r>
      <rPr>
        <sz val="10"/>
        <rFont val="Book Antiqua"/>
        <family val="1"/>
      </rPr>
      <t xml:space="preserve"> CR = CI / RI</t>
    </r>
    <phoneticPr fontId="2" type="noConversion"/>
  </si>
  <si>
    <r>
      <t xml:space="preserve">B. </t>
    </r>
    <r>
      <rPr>
        <sz val="11"/>
        <color indexed="12"/>
        <rFont val="08서울한강체 L"/>
        <family val="1"/>
        <charset val="129"/>
      </rPr>
      <t>결과치</t>
    </r>
    <r>
      <rPr>
        <sz val="11"/>
        <color indexed="12"/>
        <rFont val="Book Antiqua"/>
        <family val="1"/>
      </rPr>
      <t xml:space="preserve"> </t>
    </r>
    <r>
      <rPr>
        <sz val="11"/>
        <color indexed="12"/>
        <rFont val="08서울한강체 L"/>
        <family val="1"/>
        <charset val="129"/>
      </rPr>
      <t>평균법</t>
    </r>
    <phoneticPr fontId="2" type="noConversion"/>
  </si>
  <si>
    <r>
      <rPr>
        <sz val="10"/>
        <rFont val="08서울한강체 L"/>
        <family val="1"/>
        <charset val="129"/>
      </rPr>
      <t>합</t>
    </r>
    <r>
      <rPr>
        <sz val="10"/>
        <rFont val="Book Antiqua"/>
        <family val="1"/>
      </rPr>
      <t xml:space="preserve">   </t>
    </r>
    <r>
      <rPr>
        <sz val="10"/>
        <rFont val="08서울한강체 L"/>
        <family val="1"/>
        <charset val="129"/>
      </rPr>
      <t>계</t>
    </r>
    <phoneticPr fontId="2" type="noConversion"/>
  </si>
  <si>
    <r>
      <rPr>
        <sz val="10"/>
        <rFont val="08서울한강체 L"/>
        <family val="1"/>
        <charset val="129"/>
      </rPr>
      <t>평</t>
    </r>
    <r>
      <rPr>
        <sz val="10"/>
        <rFont val="Book Antiqua"/>
        <family val="1"/>
      </rPr>
      <t xml:space="preserve">  </t>
    </r>
    <r>
      <rPr>
        <sz val="10"/>
        <rFont val="08서울한강체 L"/>
        <family val="1"/>
        <charset val="129"/>
      </rPr>
      <t>가</t>
    </r>
    <r>
      <rPr>
        <sz val="10"/>
        <rFont val="Book Antiqua"/>
        <family val="1"/>
      </rPr>
      <t xml:space="preserve">  </t>
    </r>
    <r>
      <rPr>
        <sz val="10"/>
        <rFont val="08서울한강체 L"/>
        <family val="1"/>
        <charset val="129"/>
      </rPr>
      <t>항</t>
    </r>
    <r>
      <rPr>
        <sz val="10"/>
        <rFont val="Book Antiqua"/>
        <family val="1"/>
      </rPr>
      <t xml:space="preserve">  </t>
    </r>
    <r>
      <rPr>
        <sz val="10"/>
        <rFont val="08서울한강체 L"/>
        <family val="1"/>
        <charset val="129"/>
      </rPr>
      <t>목</t>
    </r>
    <phoneticPr fontId="2" type="noConversion"/>
  </si>
  <si>
    <r>
      <rPr>
        <sz val="10"/>
        <rFont val="08서울한강체 L"/>
        <family val="1"/>
        <charset val="129"/>
      </rPr>
      <t>절대값</t>
    </r>
    <phoneticPr fontId="2" type="noConversion"/>
  </si>
  <si>
    <r>
      <t>(</t>
    </r>
    <r>
      <rPr>
        <sz val="10"/>
        <rFont val="08서울한강체 L"/>
        <family val="1"/>
        <charset val="129"/>
      </rPr>
      <t>설문자</t>
    </r>
    <r>
      <rPr>
        <sz val="10"/>
        <rFont val="Book Antiqua"/>
        <family val="1"/>
      </rPr>
      <t xml:space="preserve"> : VE</t>
    </r>
    <r>
      <rPr>
        <sz val="10"/>
        <rFont val="08서울한강체 L"/>
        <family val="1"/>
        <charset val="129"/>
      </rPr>
      <t>전문가</t>
    </r>
    <r>
      <rPr>
        <sz val="10"/>
        <rFont val="Book Antiqua"/>
        <family val="1"/>
      </rPr>
      <t>)</t>
    </r>
    <phoneticPr fontId="2" type="noConversion"/>
  </si>
  <si>
    <r>
      <rPr>
        <sz val="10"/>
        <rFont val="08서울한강체 L"/>
        <family val="1"/>
        <charset val="129"/>
      </rPr>
      <t>확정치</t>
    </r>
    <r>
      <rPr>
        <sz val="10"/>
        <rFont val="Book Antiqua"/>
        <family val="1"/>
      </rPr>
      <t>(%)</t>
    </r>
    <phoneticPr fontId="2" type="noConversion"/>
  </si>
  <si>
    <r>
      <t>ORIGINAL CONCEPT</t>
    </r>
    <r>
      <rPr>
        <b/>
        <sz val="12"/>
        <rFont val="굴림체"/>
        <family val="3"/>
        <charset val="129"/>
      </rPr>
      <t/>
    </r>
    <phoneticPr fontId="2" type="noConversion"/>
  </si>
  <si>
    <r>
      <t xml:space="preserve"> </t>
    </r>
    <r>
      <rPr>
        <sz val="10"/>
        <rFont val="08서울한강체 L"/>
        <family val="1"/>
        <charset val="129"/>
      </rPr>
      <t>간접공사비</t>
    </r>
    <r>
      <rPr>
        <sz val="10"/>
        <rFont val="Book Antiqua"/>
        <family val="1"/>
      </rPr>
      <t>(</t>
    </r>
    <r>
      <rPr>
        <sz val="10"/>
        <rFont val="08서울한강체 L"/>
        <family val="1"/>
        <charset val="129"/>
      </rPr>
      <t>직접공사비</t>
    </r>
    <r>
      <rPr>
        <sz val="10"/>
        <rFont val="Book Antiqua"/>
        <family val="1"/>
      </rPr>
      <t>×14%)</t>
    </r>
    <phoneticPr fontId="2" type="noConversion"/>
  </si>
  <si>
    <r>
      <t xml:space="preserve"> </t>
    </r>
    <r>
      <rPr>
        <sz val="10"/>
        <rFont val="08서울한강체 L"/>
        <family val="1"/>
        <charset val="129"/>
      </rPr>
      <t>관리비</t>
    </r>
    <r>
      <rPr>
        <sz val="10"/>
        <rFont val="Book Antiqua"/>
        <family val="1"/>
      </rPr>
      <t>/</t>
    </r>
    <r>
      <rPr>
        <sz val="10"/>
        <rFont val="08서울한강체 L"/>
        <family val="1"/>
        <charset val="129"/>
      </rPr>
      <t>이윤</t>
    </r>
    <r>
      <rPr>
        <sz val="10"/>
        <rFont val="Book Antiqua"/>
        <family val="1"/>
      </rPr>
      <t>(</t>
    </r>
    <r>
      <rPr>
        <sz val="10"/>
        <rFont val="08서울한강체 L"/>
        <family val="1"/>
        <charset val="129"/>
      </rPr>
      <t>직접공사비</t>
    </r>
    <r>
      <rPr>
        <sz val="10"/>
        <rFont val="Book Antiqua"/>
        <family val="1"/>
      </rPr>
      <t>×10%)</t>
    </r>
    <phoneticPr fontId="2" type="noConversion"/>
  </si>
  <si>
    <r>
      <t xml:space="preserve"> </t>
    </r>
    <r>
      <rPr>
        <sz val="10"/>
        <rFont val="08서울한강체 L"/>
        <family val="1"/>
        <charset val="129"/>
      </rPr>
      <t>설계</t>
    </r>
    <r>
      <rPr>
        <sz val="10"/>
        <rFont val="Book Antiqua"/>
        <family val="1"/>
      </rPr>
      <t>/</t>
    </r>
    <r>
      <rPr>
        <sz val="10"/>
        <rFont val="08서울한강체 L"/>
        <family val="1"/>
        <charset val="129"/>
      </rPr>
      <t>감리비</t>
    </r>
    <r>
      <rPr>
        <sz val="10"/>
        <rFont val="Book Antiqua"/>
        <family val="1"/>
      </rPr>
      <t>(</t>
    </r>
    <r>
      <rPr>
        <sz val="10"/>
        <rFont val="08서울한강체 L"/>
        <family val="1"/>
        <charset val="129"/>
      </rPr>
      <t>공사비</t>
    </r>
    <r>
      <rPr>
        <sz val="10"/>
        <rFont val="Book Antiqua"/>
        <family val="1"/>
      </rPr>
      <t>×3%)</t>
    </r>
    <phoneticPr fontId="2" type="noConversion"/>
  </si>
  <si>
    <r>
      <t xml:space="preserve"> </t>
    </r>
    <r>
      <rPr>
        <sz val="10"/>
        <rFont val="08서울한강체 L"/>
        <family val="1"/>
        <charset val="129"/>
      </rPr>
      <t>측량</t>
    </r>
    <r>
      <rPr>
        <sz val="10"/>
        <rFont val="Book Antiqua"/>
        <family val="1"/>
      </rPr>
      <t>/</t>
    </r>
    <r>
      <rPr>
        <sz val="10"/>
        <rFont val="08서울한강체 L"/>
        <family val="1"/>
        <charset val="129"/>
      </rPr>
      <t>조사비</t>
    </r>
    <r>
      <rPr>
        <sz val="10"/>
        <rFont val="Book Antiqua"/>
        <family val="1"/>
      </rPr>
      <t>(</t>
    </r>
    <r>
      <rPr>
        <sz val="10"/>
        <rFont val="08서울한강체 L"/>
        <family val="1"/>
        <charset val="129"/>
      </rPr>
      <t>공사비</t>
    </r>
    <r>
      <rPr>
        <sz val="10"/>
        <rFont val="Book Antiqua"/>
        <family val="1"/>
      </rPr>
      <t>×1%)</t>
    </r>
    <phoneticPr fontId="2" type="noConversion"/>
  </si>
  <si>
    <r>
      <t xml:space="preserve"> </t>
    </r>
    <r>
      <rPr>
        <sz val="10"/>
        <rFont val="08서울한강체 L"/>
        <family val="1"/>
        <charset val="129"/>
      </rPr>
      <t>보상비</t>
    </r>
    <r>
      <rPr>
        <sz val="10"/>
        <rFont val="Book Antiqua"/>
        <family val="1"/>
      </rPr>
      <t>(</t>
    </r>
    <r>
      <rPr>
        <sz val="10"/>
        <rFont val="08서울한강체 L"/>
        <family val="1"/>
        <charset val="129"/>
      </rPr>
      <t>제외</t>
    </r>
    <r>
      <rPr>
        <sz val="10"/>
        <rFont val="Book Antiqua"/>
        <family val="1"/>
      </rPr>
      <t>)</t>
    </r>
    <phoneticPr fontId="2" type="noConversion"/>
  </si>
  <si>
    <r>
      <t xml:space="preserve">LCC </t>
    </r>
    <r>
      <rPr>
        <b/>
        <sz val="11"/>
        <rFont val="08서울한강체 L"/>
        <family val="1"/>
        <charset val="129"/>
      </rPr>
      <t>테이블</t>
    </r>
    <r>
      <rPr>
        <b/>
        <sz val="11"/>
        <rFont val="Book Antiqua"/>
        <family val="1"/>
      </rPr>
      <t>1</t>
    </r>
    <phoneticPr fontId="2" type="noConversion"/>
  </si>
  <si>
    <r>
      <t xml:space="preserve">LCC </t>
    </r>
    <r>
      <rPr>
        <b/>
        <sz val="11"/>
        <rFont val="08서울한강체 L"/>
        <family val="1"/>
        <charset val="129"/>
      </rPr>
      <t>테이블</t>
    </r>
    <r>
      <rPr>
        <b/>
        <sz val="11"/>
        <rFont val="Book Antiqua"/>
        <family val="1"/>
      </rPr>
      <t>2</t>
    </r>
    <phoneticPr fontId="2" type="noConversion"/>
  </si>
  <si>
    <r>
      <rPr>
        <sz val="9"/>
        <rFont val="08서울한강체 L"/>
        <family val="1"/>
        <charset val="129"/>
      </rPr>
      <t>초기투자비</t>
    </r>
    <phoneticPr fontId="2" type="noConversion"/>
  </si>
  <si>
    <r>
      <rPr>
        <sz val="9"/>
        <rFont val="08서울한강체 L"/>
        <family val="1"/>
        <charset val="129"/>
      </rPr>
      <t>유지관리비</t>
    </r>
    <phoneticPr fontId="2" type="noConversion"/>
  </si>
  <si>
    <r>
      <rPr>
        <sz val="9"/>
        <rFont val="08서울한강체 L"/>
        <family val="1"/>
        <charset val="129"/>
      </rPr>
      <t>해체폐기비</t>
    </r>
    <phoneticPr fontId="2" type="noConversion"/>
  </si>
  <si>
    <r>
      <t xml:space="preserve">Total
</t>
    </r>
    <r>
      <rPr>
        <b/>
        <sz val="9"/>
        <rFont val="Book Antiqua"/>
        <family val="1"/>
      </rPr>
      <t>Performance</t>
    </r>
    <phoneticPr fontId="2" type="noConversion"/>
  </si>
  <si>
    <r>
      <rPr>
        <b/>
        <sz val="9"/>
        <rFont val="Book Antiqua"/>
        <family val="1"/>
      </rPr>
      <t>Performance</t>
    </r>
    <r>
      <rPr>
        <b/>
        <sz val="10"/>
        <rFont val="Book Antiqua"/>
        <family val="1"/>
      </rPr>
      <t xml:space="preserve">
(P)</t>
    </r>
    <phoneticPr fontId="2" type="noConversion"/>
  </si>
  <si>
    <r>
      <t xml:space="preserve">% Change
</t>
    </r>
    <r>
      <rPr>
        <b/>
        <sz val="9"/>
        <rFont val="Book Antiqua"/>
        <family val="1"/>
      </rPr>
      <t>Performance</t>
    </r>
    <phoneticPr fontId="2" type="noConversion"/>
  </si>
  <si>
    <r>
      <rPr>
        <b/>
        <sz val="9"/>
        <rFont val="Book Antiqua"/>
        <family val="1"/>
      </rPr>
      <t>Value Index</t>
    </r>
    <r>
      <rPr>
        <b/>
        <sz val="10"/>
        <rFont val="Book Antiqua"/>
        <family val="1"/>
      </rPr>
      <t xml:space="preserve">
(P/C)</t>
    </r>
    <phoneticPr fontId="2" type="noConversion"/>
  </si>
  <si>
    <r>
      <t xml:space="preserve">% Value
</t>
    </r>
    <r>
      <rPr>
        <b/>
        <sz val="9"/>
        <rFont val="Book Antiqua"/>
        <family val="1"/>
      </rPr>
      <t>Improvement</t>
    </r>
    <phoneticPr fontId="2" type="noConversion"/>
  </si>
  <si>
    <r>
      <rPr>
        <b/>
        <sz val="10"/>
        <rFont val="08서울한강체 L"/>
        <family val="1"/>
        <charset val="129"/>
      </rPr>
      <t>그래프용</t>
    </r>
    <r>
      <rPr>
        <b/>
        <sz val="10"/>
        <rFont val="Book Antiqua"/>
        <family val="1"/>
      </rPr>
      <t xml:space="preserve"> </t>
    </r>
    <r>
      <rPr>
        <b/>
        <sz val="10"/>
        <rFont val="08서울한강체 L"/>
        <family val="1"/>
        <charset val="129"/>
      </rPr>
      <t>테이블</t>
    </r>
    <r>
      <rPr>
        <b/>
        <sz val="10"/>
        <rFont val="Book Antiqua"/>
        <family val="1"/>
      </rPr>
      <t>1</t>
    </r>
    <phoneticPr fontId="2" type="noConversion"/>
  </si>
  <si>
    <r>
      <rPr>
        <b/>
        <sz val="10"/>
        <rFont val="08서울한강체 L"/>
        <family val="1"/>
        <charset val="129"/>
      </rPr>
      <t>대</t>
    </r>
    <r>
      <rPr>
        <b/>
        <sz val="10"/>
        <rFont val="Book Antiqua"/>
        <family val="1"/>
      </rPr>
      <t xml:space="preserve"> </t>
    </r>
    <r>
      <rPr>
        <b/>
        <sz val="10"/>
        <rFont val="08서울한강체 L"/>
        <family val="1"/>
        <charset val="129"/>
      </rPr>
      <t>안</t>
    </r>
    <phoneticPr fontId="2" type="noConversion"/>
  </si>
  <si>
    <r>
      <rPr>
        <b/>
        <sz val="10"/>
        <rFont val="08서울한강체 L"/>
        <family val="1"/>
        <charset val="129"/>
      </rPr>
      <t>비용</t>
    </r>
    <phoneticPr fontId="2" type="noConversion"/>
  </si>
  <si>
    <r>
      <rPr>
        <b/>
        <sz val="10"/>
        <rFont val="08서울한강체 L"/>
        <family val="1"/>
        <charset val="129"/>
      </rPr>
      <t>성능</t>
    </r>
    <phoneticPr fontId="2" type="noConversion"/>
  </si>
  <si>
    <r>
      <rPr>
        <b/>
        <sz val="10"/>
        <rFont val="08서울한강체 L"/>
        <family val="1"/>
        <charset val="129"/>
      </rPr>
      <t>가치</t>
    </r>
    <phoneticPr fontId="2" type="noConversion"/>
  </si>
  <si>
    <r>
      <rPr>
        <b/>
        <sz val="9"/>
        <rFont val="08서울한강체 L"/>
        <family val="1"/>
        <charset val="129"/>
      </rPr>
      <t xml:space="preserve">성능
</t>
    </r>
    <r>
      <rPr>
        <b/>
        <sz val="10"/>
        <rFont val="Book Antiqua"/>
        <family val="1"/>
      </rPr>
      <t>(P)</t>
    </r>
    <phoneticPr fontId="2" type="noConversion"/>
  </si>
  <si>
    <r>
      <rPr>
        <b/>
        <sz val="10"/>
        <rFont val="08서울한강체 L"/>
        <family val="1"/>
        <charset val="129"/>
      </rPr>
      <t xml:space="preserve">환산계수
</t>
    </r>
    <r>
      <rPr>
        <b/>
        <sz val="10"/>
        <rFont val="Book Antiqua"/>
        <family val="1"/>
      </rPr>
      <t>(e)</t>
    </r>
    <phoneticPr fontId="2" type="noConversion"/>
  </si>
  <si>
    <r>
      <rPr>
        <b/>
        <sz val="10"/>
        <rFont val="08서울한강체 L"/>
        <family val="1"/>
        <charset val="129"/>
      </rPr>
      <t xml:space="preserve">성능점수
</t>
    </r>
    <r>
      <rPr>
        <b/>
        <sz val="10"/>
        <rFont val="Book Antiqua"/>
        <family val="1"/>
      </rPr>
      <t>(P´=P×e)</t>
    </r>
    <phoneticPr fontId="2" type="noConversion"/>
  </si>
  <si>
    <r>
      <rPr>
        <b/>
        <sz val="10"/>
        <rFont val="08서울한강체 L"/>
        <family val="1"/>
        <charset val="129"/>
      </rPr>
      <t>비용지수</t>
    </r>
    <r>
      <rPr>
        <b/>
        <sz val="10"/>
        <rFont val="Book Antiqua"/>
        <family val="1"/>
      </rPr>
      <t>(C)</t>
    </r>
    <phoneticPr fontId="2" type="noConversion"/>
  </si>
  <si>
    <r>
      <rPr>
        <b/>
        <sz val="10"/>
        <rFont val="08서울한강체 L"/>
        <family val="1"/>
        <charset val="129"/>
      </rPr>
      <t>가치유형</t>
    </r>
    <phoneticPr fontId="2" type="noConversion"/>
  </si>
  <si>
    <t>시공성</t>
  </si>
  <si>
    <t>유지관리성</t>
  </si>
  <si>
    <t>내구성</t>
  </si>
  <si>
    <t>이용편의성</t>
  </si>
  <si>
    <t>친환경성</t>
  </si>
  <si>
    <t>배수성</t>
  </si>
  <si>
    <t>교통안전성</t>
  </si>
  <si>
    <t>민원성</t>
  </si>
  <si>
    <r>
      <t xml:space="preserve"> </t>
    </r>
    <r>
      <rPr>
        <sz val="10"/>
        <rFont val="08서울한강체 L"/>
        <family val="1"/>
        <charset val="129"/>
      </rPr>
      <t>직접공사비</t>
    </r>
    <r>
      <rPr>
        <sz val="10"/>
        <rFont val="Book Antiqua"/>
        <family val="1"/>
      </rPr>
      <t>(</t>
    </r>
    <r>
      <rPr>
        <sz val="10"/>
        <rFont val="08서울한강체 L"/>
        <family val="1"/>
        <charset val="129"/>
      </rPr>
      <t>억원</t>
    </r>
    <r>
      <rPr>
        <sz val="10"/>
        <rFont val="Book Antiqua"/>
        <family val="1"/>
      </rPr>
      <t>)</t>
    </r>
    <phoneticPr fontId="2" type="noConversion"/>
  </si>
  <si>
    <r>
      <t xml:space="preserve"> </t>
    </r>
    <r>
      <rPr>
        <sz val="10"/>
        <rFont val="08서울한강체 L"/>
        <family val="1"/>
        <charset val="129"/>
      </rPr>
      <t>직접공사비</t>
    </r>
    <r>
      <rPr>
        <sz val="10"/>
        <rFont val="Book Antiqua"/>
        <family val="1"/>
      </rPr>
      <t>(</t>
    </r>
    <r>
      <rPr>
        <sz val="10"/>
        <rFont val="08서울한강체 L"/>
        <family val="1"/>
        <charset val="129"/>
      </rPr>
      <t>억원</t>
    </r>
    <r>
      <rPr>
        <sz val="10"/>
        <rFont val="Book Antiqua"/>
        <family val="1"/>
      </rPr>
      <t>)</t>
    </r>
    <phoneticPr fontId="2" type="noConversion"/>
  </si>
  <si>
    <t>평가항목</t>
  </si>
  <si>
    <t>가중치</t>
  </si>
  <si>
    <t>등급</t>
  </si>
  <si>
    <t>점수</t>
  </si>
  <si>
    <t>환산점수</t>
  </si>
  <si>
    <t>성능
평가</t>
  </si>
  <si>
    <t>LCC
평가</t>
  </si>
  <si>
    <t>초기투자비용</t>
  </si>
  <si>
    <t>유지관리비용</t>
  </si>
  <si>
    <t>해체폐기비용</t>
  </si>
  <si>
    <t>생애주기비용</t>
  </si>
  <si>
    <t>비용지수</t>
  </si>
  <si>
    <t>VE
결과</t>
  </si>
  <si>
    <t>성능점수</t>
  </si>
  <si>
    <t>가치점수</t>
  </si>
  <si>
    <t>선정안</t>
  </si>
  <si>
    <r>
      <t xml:space="preserve">   1. </t>
    </r>
    <r>
      <rPr>
        <sz val="10"/>
        <rFont val="08서울한강체 L"/>
        <family val="1"/>
        <charset val="129"/>
      </rPr>
      <t>재포장비</t>
    </r>
    <phoneticPr fontId="2" type="noConversion"/>
  </si>
  <si>
    <t>가치혁신형</t>
    <phoneticPr fontId="2" type="noConversion"/>
  </si>
  <si>
    <r>
      <t xml:space="preserve">   2. </t>
    </r>
    <r>
      <rPr>
        <sz val="10"/>
        <rFont val="바탕"/>
        <family val="1"/>
        <charset val="129"/>
      </rPr>
      <t>잔존가치</t>
    </r>
    <phoneticPr fontId="2" type="noConversion"/>
  </si>
  <si>
    <t>합계</t>
    <phoneticPr fontId="2" type="noConversion"/>
  </si>
  <si>
    <t>초기공사비</t>
    <phoneticPr fontId="2" type="noConversion"/>
  </si>
  <si>
    <t>유지관리비</t>
    <phoneticPr fontId="2" type="noConversion"/>
  </si>
  <si>
    <t>LCC</t>
    <phoneticPr fontId="2" type="noConversion"/>
  </si>
  <si>
    <t>성능</t>
    <phoneticPr fontId="2" type="noConversion"/>
  </si>
  <si>
    <t>가치</t>
    <phoneticPr fontId="2" type="noConversion"/>
  </si>
  <si>
    <r>
      <rPr>
        <b/>
        <sz val="10"/>
        <rFont val="08서울한강체 L"/>
        <family val="1"/>
        <charset val="129"/>
      </rPr>
      <t xml:space="preserve">가치점수
</t>
    </r>
    <r>
      <rPr>
        <b/>
        <sz val="10"/>
        <rFont val="Book Antiqua"/>
        <family val="1"/>
      </rPr>
      <t>(P´/C)</t>
    </r>
    <phoneticPr fontId="2" type="noConversion"/>
  </si>
  <si>
    <t>포장두께</t>
    <phoneticPr fontId="2" type="noConversion"/>
  </si>
  <si>
    <t>비교1안(PCC Slab 46cm)</t>
    <phoneticPr fontId="2" type="noConversion"/>
  </si>
  <si>
    <t>비교2안(PCC Slab 50cm)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</si>
</sst>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0.0_ "/>
    <numFmt numFmtId="177" formatCode="0.00_ "/>
    <numFmt numFmtId="178" formatCode="0.0_);[Red]\(0.0\)"/>
    <numFmt numFmtId="179" formatCode="0.0000_ "/>
    <numFmt numFmtId="180" formatCode="0.000_ "/>
    <numFmt numFmtId="181" formatCode="0.0000000_ "/>
    <numFmt numFmtId="182" formatCode="0.00000000_ "/>
    <numFmt numFmtId="183" formatCode="0.0%"/>
    <numFmt numFmtId="184" formatCode="0_);[Red]\(0\)"/>
    <numFmt numFmtId="185" formatCode="0.000_);[Red]\(0.000\)"/>
    <numFmt numFmtId="186" formatCode="0_ "/>
    <numFmt numFmtId="187" formatCode="#&quot;선호도 설문조사&quot;"/>
    <numFmt numFmtId="188" formatCode="#&quot;만원&quot;"/>
    <numFmt numFmtId="189" formatCode="0.0"/>
    <numFmt numFmtId="190" formatCode="0.000"/>
    <numFmt numFmtId="191" formatCode="_(&quot;$&quot;* #,##0.00_);_(&quot;$&quot;* \(#,##0.00\);_(&quot;$&quot;* &quot;-&quot;??_);_(@_)"/>
    <numFmt numFmtId="192" formatCode="_(* #,##0.00_);_(* \(#,##0.00\);_(* &quot;-&quot;??_);_(@_)"/>
    <numFmt numFmtId="193" formatCode="&quot;$&quot;#,##0_);[Red]\(&quot;$&quot;#,##0\)"/>
    <numFmt numFmtId="194" formatCode="&quot;$&quot;#,##0"/>
    <numFmt numFmtId="195" formatCode="_(&quot;$&quot;* #,##0_);_(&quot;$&quot;* \(#,##0\);_(&quot;$&quot;* &quot;-&quot;??_);_(@_)"/>
    <numFmt numFmtId="196" formatCode="0.0000_);\(0.0000\)"/>
    <numFmt numFmtId="197" formatCode="0.0000"/>
    <numFmt numFmtId="198" formatCode="_-* #,##0_-;\-* #,##0_-;_-* &quot;-&quot;??_-;_-@_-"/>
    <numFmt numFmtId="199" formatCode="_-* #,##0.00_-;\-* #,##0.00_-;_-* &quot;-&quot;_-;_-@_-"/>
    <numFmt numFmtId="200" formatCode="#,##0_);[Red]\(#,##0\)"/>
    <numFmt numFmtId="201" formatCode="_-* #,##0.0_-;\-* #,##0.0_-;_-* &quot;-&quot;?_-;_-@_-"/>
    <numFmt numFmtId="202" formatCode="#,##0_ "/>
    <numFmt numFmtId="203" formatCode="#,##0.0_);[Red]\(#,##0.0\)"/>
    <numFmt numFmtId="204" formatCode="0.00_);[Red]\(0.00\)"/>
    <numFmt numFmtId="205" formatCode="#,##0.00_ "/>
    <numFmt numFmtId="206" formatCode="#\ &quot;년&quot;"/>
    <numFmt numFmtId="207" formatCode="#\ &quot;years&quot;"/>
    <numFmt numFmtId="208" formatCode="#,##0.00_);[Red]\(#,##0.00\)"/>
    <numFmt numFmtId="209" formatCode="#,##0.000_);[Red]\(#,##0.000\)"/>
    <numFmt numFmtId="210" formatCode="#,###;\-#,###;&quot;&quot;;@"/>
  </numFmts>
  <fonts count="9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Y울릉도L"/>
      <family val="1"/>
      <charset val="129"/>
    </font>
    <font>
      <b/>
      <sz val="10"/>
      <name val="HY울릉도L"/>
      <family val="1"/>
      <charset val="129"/>
    </font>
    <font>
      <sz val="11"/>
      <name val="HY울릉도L"/>
      <family val="1"/>
      <charset val="129"/>
    </font>
    <font>
      <b/>
      <sz val="11"/>
      <name val="HY울릉도L"/>
      <family val="1"/>
      <charset val="129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i/>
      <sz val="12"/>
      <name val="바탕"/>
      <family val="1"/>
      <charset val="129"/>
    </font>
    <font>
      <b/>
      <sz val="11"/>
      <name val="-소망L"/>
      <family val="1"/>
      <charset val="129"/>
    </font>
    <font>
      <sz val="11"/>
      <name val="-소망L"/>
      <family val="1"/>
      <charset val="129"/>
    </font>
    <font>
      <b/>
      <i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-소망L"/>
      <family val="1"/>
      <charset val="129"/>
    </font>
    <font>
      <b/>
      <sz val="10"/>
      <name val="Times New Roman"/>
      <family val="1"/>
    </font>
    <font>
      <b/>
      <sz val="10"/>
      <name val="-소망L"/>
      <family val="1"/>
      <charset val="129"/>
    </font>
    <font>
      <b/>
      <i/>
      <sz val="10"/>
      <name val="Times New Roman"/>
      <family val="1"/>
    </font>
    <font>
      <sz val="9"/>
      <name val="Times New Roman"/>
      <family val="1"/>
    </font>
    <font>
      <sz val="10"/>
      <name val="굴림체"/>
      <family val="3"/>
      <charset val="129"/>
    </font>
    <font>
      <sz val="11"/>
      <color indexed="12"/>
      <name val="Times New Roman"/>
      <family val="1"/>
    </font>
    <font>
      <sz val="14"/>
      <name val="Times New Roman"/>
      <family val="1"/>
    </font>
    <font>
      <b/>
      <sz val="24"/>
      <name val="Times New Roman"/>
      <family val="1"/>
    </font>
    <font>
      <i/>
      <sz val="11"/>
      <name val="Times New Roman"/>
      <family val="1"/>
    </font>
    <font>
      <b/>
      <sz val="12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color indexed="52"/>
      <name val="돋움"/>
      <family val="3"/>
      <charset val="129"/>
    </font>
    <font>
      <sz val="11"/>
      <color indexed="20"/>
      <name val="돋움"/>
      <family val="3"/>
      <charset val="129"/>
    </font>
    <font>
      <sz val="11"/>
      <color indexed="60"/>
      <name val="돋움"/>
      <family val="3"/>
      <charset val="129"/>
    </font>
    <font>
      <i/>
      <sz val="11"/>
      <color indexed="23"/>
      <name val="돋움"/>
      <family val="3"/>
      <charset val="129"/>
    </font>
    <font>
      <b/>
      <sz val="11"/>
      <color indexed="9"/>
      <name val="돋움"/>
      <family val="3"/>
      <charset val="129"/>
    </font>
    <font>
      <sz val="11"/>
      <color indexed="52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62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돋움"/>
      <family val="3"/>
      <charset val="129"/>
    </font>
    <font>
      <b/>
      <sz val="13"/>
      <color indexed="56"/>
      <name val="돋움"/>
      <family val="3"/>
      <charset val="129"/>
    </font>
    <font>
      <b/>
      <sz val="11"/>
      <color indexed="56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1"/>
      <color indexed="63"/>
      <name val="돋움"/>
      <family val="3"/>
      <charset val="129"/>
    </font>
    <font>
      <b/>
      <sz val="12"/>
      <name val="-소망L"/>
      <family val="1"/>
      <charset val="129"/>
    </font>
    <font>
      <sz val="11"/>
      <color indexed="12"/>
      <name val="-소망L"/>
      <family val="1"/>
      <charset val="129"/>
    </font>
    <font>
      <sz val="10"/>
      <color indexed="12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0"/>
      <name val="-소망L"/>
      <family val="1"/>
      <charset val="129"/>
    </font>
    <font>
      <sz val="12"/>
      <name val="-소망L"/>
      <family val="1"/>
      <charset val="129"/>
    </font>
    <font>
      <b/>
      <sz val="14"/>
      <name val="-소망M"/>
      <family val="1"/>
      <charset val="129"/>
    </font>
    <font>
      <sz val="11"/>
      <color indexed="9"/>
      <name val="-소망L"/>
      <family val="1"/>
      <charset val="129"/>
    </font>
    <font>
      <sz val="11"/>
      <color indexed="9"/>
      <name val="Times New Roman"/>
      <family val="1"/>
    </font>
    <font>
      <b/>
      <sz val="11"/>
      <color indexed="9"/>
      <name val="Times New Roman"/>
      <family val="1"/>
    </font>
    <font>
      <b/>
      <sz val="11"/>
      <name val="굴림체"/>
      <family val="3"/>
      <charset val="129"/>
    </font>
    <font>
      <b/>
      <sz val="14"/>
      <name val="-소망L"/>
      <family val="1"/>
      <charset val="129"/>
    </font>
    <font>
      <sz val="9"/>
      <color indexed="8"/>
      <name val="Arial"/>
      <family val="2"/>
    </font>
    <font>
      <sz val="10"/>
      <name val="Book Antiqua"/>
      <family val="1"/>
    </font>
    <font>
      <b/>
      <sz val="10"/>
      <name val="08서울한강체 L"/>
      <family val="1"/>
      <charset val="129"/>
    </font>
    <font>
      <sz val="10"/>
      <name val="08서울한강체 L"/>
      <family val="1"/>
      <charset val="129"/>
    </font>
    <font>
      <b/>
      <sz val="11"/>
      <name val="08서울한강체 L"/>
      <family val="1"/>
      <charset val="129"/>
    </font>
    <font>
      <sz val="11"/>
      <name val="08서울한강체 L"/>
      <family val="1"/>
      <charset val="129"/>
    </font>
    <font>
      <b/>
      <sz val="14"/>
      <name val="Book Antiqua"/>
      <family val="1"/>
    </font>
    <font>
      <sz val="12"/>
      <name val="Book Antiqua"/>
      <family val="1"/>
    </font>
    <font>
      <b/>
      <sz val="12"/>
      <name val="Book Antiqua"/>
      <family val="1"/>
    </font>
    <font>
      <sz val="11"/>
      <name val="Book Antiqua"/>
      <family val="1"/>
    </font>
    <font>
      <b/>
      <sz val="11"/>
      <name val="Book Antiqua"/>
      <family val="1"/>
    </font>
    <font>
      <b/>
      <sz val="10"/>
      <name val="Book Antiqua"/>
      <family val="1"/>
    </font>
    <font>
      <b/>
      <i/>
      <sz val="11"/>
      <name val="Book Antiqua"/>
      <family val="1"/>
    </font>
    <font>
      <b/>
      <i/>
      <sz val="10"/>
      <name val="Book Antiqua"/>
      <family val="1"/>
    </font>
    <font>
      <sz val="11"/>
      <color indexed="12"/>
      <name val="08서울한강체 L"/>
      <family val="1"/>
      <charset val="129"/>
    </font>
    <font>
      <sz val="10"/>
      <color indexed="12"/>
      <name val="08서울한강체 L"/>
      <family val="1"/>
      <charset val="129"/>
    </font>
    <font>
      <sz val="11"/>
      <color indexed="12"/>
      <name val="Book Antiqua"/>
      <family val="1"/>
    </font>
    <font>
      <sz val="10"/>
      <color indexed="12"/>
      <name val="Book Antiqua"/>
      <family val="1"/>
    </font>
    <font>
      <sz val="9"/>
      <name val="08서울한강체 L"/>
      <family val="1"/>
      <charset val="129"/>
    </font>
    <font>
      <sz val="14"/>
      <name val="Book Antiqua"/>
      <family val="1"/>
    </font>
    <font>
      <b/>
      <i/>
      <sz val="12"/>
      <name val="Book Antiqua"/>
      <family val="1"/>
    </font>
    <font>
      <b/>
      <sz val="24"/>
      <name val="Book Antiqua"/>
      <family val="1"/>
    </font>
    <font>
      <sz val="9"/>
      <name val="Book Antiqua"/>
      <family val="1"/>
    </font>
    <font>
      <i/>
      <sz val="11"/>
      <name val="Book Antiqua"/>
      <family val="1"/>
    </font>
    <font>
      <b/>
      <sz val="9"/>
      <name val="08서울한강체 L"/>
      <family val="1"/>
      <charset val="129"/>
    </font>
    <font>
      <b/>
      <sz val="9"/>
      <name val="Book Antiqua"/>
      <family val="1"/>
    </font>
    <font>
      <sz val="10"/>
      <color theme="0"/>
      <name val="Book Antiqua"/>
      <family val="1"/>
    </font>
    <font>
      <sz val="9"/>
      <color indexed="9"/>
      <name val="Book Antiqua"/>
      <family val="1"/>
    </font>
    <font>
      <b/>
      <sz val="8"/>
      <name val="Book Antiqua"/>
      <family val="1"/>
    </font>
    <font>
      <sz val="10"/>
      <color theme="1"/>
      <name val="-윤고딕130"/>
      <family val="1"/>
      <charset val="129"/>
    </font>
    <font>
      <sz val="10"/>
      <name val="-윤고딕120"/>
      <family val="1"/>
      <charset val="129"/>
    </font>
    <font>
      <sz val="10"/>
      <name val="바탕"/>
      <family val="1"/>
      <charset val="129"/>
    </font>
    <font>
      <sz val="11"/>
      <name val="바탕"/>
      <family val="1"/>
      <charset val="129"/>
    </font>
    <font>
      <b/>
      <sz val="10"/>
      <name val="08서울한강체 M"/>
      <family val="1"/>
      <charset val="129"/>
    </font>
    <font>
      <b/>
      <sz val="12"/>
      <name val="08서울한강체 M"/>
      <family val="1"/>
      <charset val="129"/>
    </font>
    <font>
      <sz val="10"/>
      <name val="08서울한강체 M"/>
      <family val="1"/>
      <charset val="129"/>
    </font>
    <font>
      <sz val="11"/>
      <name val="08서울한강체 M"/>
      <family val="1"/>
      <charset val="129"/>
    </font>
    <font>
      <b/>
      <sz val="11"/>
      <name val="08서울한강체 M"/>
      <family val="1"/>
      <charset val="129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6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/>
      <right style="medium">
        <color indexed="64"/>
      </right>
      <top/>
      <bottom/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63"/>
      </top>
      <bottom style="thin">
        <color indexed="9"/>
      </bottom>
      <diagonal/>
    </border>
    <border>
      <left style="thin">
        <color indexed="9"/>
      </left>
      <right style="thin">
        <color indexed="63"/>
      </right>
      <top style="thin">
        <color indexed="63"/>
      </top>
      <bottom style="thin">
        <color indexed="9"/>
      </bottom>
      <diagonal/>
    </border>
    <border>
      <left style="thin">
        <color indexed="63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3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63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 style="thin">
        <color indexed="64"/>
      </diagonal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9"/>
      </right>
      <top style="thin">
        <color indexed="63"/>
      </top>
      <bottom style="thin">
        <color indexed="9"/>
      </bottom>
      <diagonal/>
    </border>
    <border>
      <left style="thin">
        <color indexed="63"/>
      </left>
      <right style="thin">
        <color indexed="9"/>
      </right>
      <top style="thin">
        <color indexed="63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 diagonalUp="1" diagonalDown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</borders>
  <cellStyleXfs count="49">
    <xf numFmtId="0" fontId="0" fillId="0" borderId="0">
      <alignment vertical="center"/>
    </xf>
    <xf numFmtId="0" fontId="29" fillId="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0" borderId="1" applyNumberForma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9" fillId="21" borderId="2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3" borderId="3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7" fillId="0" borderId="4" applyNumberFormat="0" applyFill="0" applyAlignment="0" applyProtection="0">
      <alignment vertical="center"/>
    </xf>
    <xf numFmtId="0" fontId="38" fillId="0" borderId="5" applyNumberFormat="0" applyFill="0" applyAlignment="0" applyProtection="0">
      <alignment vertical="center"/>
    </xf>
    <xf numFmtId="0" fontId="39" fillId="7" borderId="1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5" fillId="20" borderId="9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58" fillId="0" borderId="0"/>
    <xf numFmtId="0" fontId="87" fillId="0" borderId="0">
      <alignment vertical="center"/>
    </xf>
    <xf numFmtId="9" fontId="87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</cellStyleXfs>
  <cellXfs count="109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84" fontId="3" fillId="0" borderId="0" xfId="0" applyNumberFormat="1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>
      <alignment vertical="center"/>
    </xf>
    <xf numFmtId="0" fontId="4" fillId="24" borderId="14" xfId="0" applyFont="1" applyFill="1" applyBorder="1" applyAlignment="1">
      <alignment horizontal="center" vertical="center"/>
    </xf>
    <xf numFmtId="0" fontId="4" fillId="24" borderId="22" xfId="0" applyFont="1" applyFill="1" applyBorder="1" applyAlignment="1">
      <alignment horizontal="center" vertical="center" wrapText="1"/>
    </xf>
    <xf numFmtId="0" fontId="4" fillId="24" borderId="22" xfId="0" applyFont="1" applyFill="1" applyBorder="1" applyAlignment="1">
      <alignment horizontal="center" vertical="center"/>
    </xf>
    <xf numFmtId="0" fontId="4" fillId="24" borderId="23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5" fillId="25" borderId="25" xfId="0" applyFont="1" applyFill="1" applyBorder="1" applyAlignment="1">
      <alignment horizontal="center" vertical="center"/>
    </xf>
    <xf numFmtId="0" fontId="5" fillId="25" borderId="26" xfId="0" applyFont="1" applyFill="1" applyBorder="1">
      <alignment vertical="center"/>
    </xf>
    <xf numFmtId="0" fontId="6" fillId="25" borderId="26" xfId="0" applyFont="1" applyFill="1" applyBorder="1">
      <alignment vertical="center"/>
    </xf>
    <xf numFmtId="0" fontId="6" fillId="25" borderId="26" xfId="0" applyFont="1" applyFill="1" applyBorder="1" applyAlignment="1">
      <alignment horizontal="right" vertical="center"/>
    </xf>
    <xf numFmtId="0" fontId="5" fillId="25" borderId="27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12" fillId="0" borderId="29" xfId="0" applyFont="1" applyBorder="1" applyAlignment="1">
      <alignment horizontal="distributed" vertical="center" indent="1"/>
    </xf>
    <xf numFmtId="0" fontId="12" fillId="0" borderId="30" xfId="0" applyFont="1" applyBorder="1" applyAlignment="1">
      <alignment horizontal="distributed" vertical="center" indent="1"/>
    </xf>
    <xf numFmtId="0" fontId="12" fillId="0" borderId="29" xfId="0" applyFont="1" applyBorder="1" applyAlignment="1">
      <alignment horizontal="distributed" vertical="center" wrapText="1" indent="1"/>
    </xf>
    <xf numFmtId="0" fontId="16" fillId="0" borderId="0" xfId="0" applyFont="1" applyAlignment="1">
      <alignment horizontal="center" vertical="center" wrapText="1"/>
    </xf>
    <xf numFmtId="0" fontId="16" fillId="0" borderId="0" xfId="0" applyFont="1">
      <alignment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top" wrapText="1"/>
    </xf>
    <xf numFmtId="0" fontId="10" fillId="0" borderId="0" xfId="0" applyFont="1">
      <alignment vertical="center"/>
    </xf>
    <xf numFmtId="0" fontId="15" fillId="24" borderId="19" xfId="0" applyFont="1" applyFill="1" applyBorder="1" applyAlignment="1">
      <alignment horizontal="centerContinuous" vertical="center"/>
    </xf>
    <xf numFmtId="0" fontId="15" fillId="24" borderId="24" xfId="0" applyFont="1" applyFill="1" applyBorder="1" applyAlignment="1">
      <alignment horizontal="centerContinuous" vertical="center"/>
    </xf>
    <xf numFmtId="0" fontId="15" fillId="24" borderId="20" xfId="0" applyFont="1" applyFill="1" applyBorder="1" applyAlignment="1">
      <alignment horizontal="centerContinuous" vertical="center"/>
    </xf>
    <xf numFmtId="0" fontId="17" fillId="0" borderId="31" xfId="0" applyFont="1" applyBorder="1" applyAlignment="1">
      <alignment horizontal="left" vertical="center"/>
    </xf>
    <xf numFmtId="0" fontId="10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/>
    </xf>
    <xf numFmtId="0" fontId="17" fillId="0" borderId="10" xfId="0" applyFont="1" applyBorder="1">
      <alignment vertical="center"/>
    </xf>
    <xf numFmtId="0" fontId="10" fillId="0" borderId="16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17" fillId="0" borderId="13" xfId="0" applyFont="1" applyBorder="1">
      <alignment vertical="center"/>
    </xf>
    <xf numFmtId="0" fontId="10" fillId="0" borderId="18" xfId="0" applyFont="1" applyBorder="1" applyAlignment="1">
      <alignment horizontal="center" vertical="center"/>
    </xf>
    <xf numFmtId="0" fontId="19" fillId="0" borderId="15" xfId="0" applyFont="1" applyBorder="1" applyAlignment="1">
      <alignment horizontal="distributed" vertical="center"/>
    </xf>
    <xf numFmtId="0" fontId="10" fillId="0" borderId="3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>
      <alignment vertical="center"/>
    </xf>
    <xf numFmtId="0" fontId="19" fillId="0" borderId="35" xfId="0" applyFont="1" applyBorder="1" applyAlignment="1">
      <alignment horizontal="distributed" vertical="center"/>
    </xf>
    <xf numFmtId="0" fontId="18" fillId="0" borderId="10" xfId="0" applyFont="1" applyBorder="1" applyAlignment="1">
      <alignment horizontal="center" vertical="center"/>
    </xf>
    <xf numFmtId="0" fontId="10" fillId="26" borderId="10" xfId="0" applyFont="1" applyFill="1" applyBorder="1" applyAlignment="1">
      <alignment horizontal="center" vertical="center"/>
    </xf>
    <xf numFmtId="0" fontId="10" fillId="26" borderId="16" xfId="0" applyFont="1" applyFill="1" applyBorder="1" applyAlignment="1">
      <alignment horizontal="center" vertical="center"/>
    </xf>
    <xf numFmtId="0" fontId="18" fillId="26" borderId="10" xfId="0" applyFont="1" applyFill="1" applyBorder="1" applyAlignment="1">
      <alignment horizontal="center" vertical="center"/>
    </xf>
    <xf numFmtId="0" fontId="19" fillId="0" borderId="36" xfId="0" applyFont="1" applyBorder="1" applyAlignment="1">
      <alignment horizontal="distributed" vertical="center"/>
    </xf>
    <xf numFmtId="0" fontId="18" fillId="26" borderId="13" xfId="0" applyFont="1" applyFill="1" applyBorder="1" applyAlignment="1">
      <alignment horizontal="center" vertical="center"/>
    </xf>
    <xf numFmtId="0" fontId="17" fillId="26" borderId="33" xfId="0" applyFont="1" applyFill="1" applyBorder="1" applyAlignment="1">
      <alignment horizontal="left" vertical="center"/>
    </xf>
    <xf numFmtId="0" fontId="17" fillId="26" borderId="10" xfId="0" applyFont="1" applyFill="1" applyBorder="1" applyAlignment="1">
      <alignment horizontal="left" vertical="center"/>
    </xf>
    <xf numFmtId="180" fontId="10" fillId="0" borderId="31" xfId="0" applyNumberFormat="1" applyFont="1" applyBorder="1" applyAlignment="1">
      <alignment horizontal="center" vertical="center"/>
    </xf>
    <xf numFmtId="180" fontId="10" fillId="0" borderId="10" xfId="0" applyNumberFormat="1" applyFont="1" applyBorder="1" applyAlignment="1">
      <alignment horizontal="center" vertical="center"/>
    </xf>
    <xf numFmtId="180" fontId="10" fillId="26" borderId="10" xfId="0" applyNumberFormat="1" applyFont="1" applyFill="1" applyBorder="1" applyAlignment="1">
      <alignment horizontal="center" vertical="center"/>
    </xf>
    <xf numFmtId="180" fontId="10" fillId="26" borderId="10" xfId="0" applyNumberFormat="1" applyFont="1" applyFill="1" applyBorder="1">
      <alignment vertical="center"/>
    </xf>
    <xf numFmtId="180" fontId="10" fillId="0" borderId="10" xfId="0" applyNumberFormat="1" applyFont="1" applyBorder="1">
      <alignment vertical="center"/>
    </xf>
    <xf numFmtId="180" fontId="18" fillId="0" borderId="10" xfId="0" applyNumberFormat="1" applyFont="1" applyBorder="1">
      <alignment vertical="center"/>
    </xf>
    <xf numFmtId="180" fontId="18" fillId="26" borderId="13" xfId="0" applyNumberFormat="1" applyFont="1" applyFill="1" applyBorder="1">
      <alignment vertical="center"/>
    </xf>
    <xf numFmtId="176" fontId="18" fillId="0" borderId="10" xfId="0" applyNumberFormat="1" applyFont="1" applyBorder="1" applyAlignment="1">
      <alignment horizontal="center" vertical="center"/>
    </xf>
    <xf numFmtId="176" fontId="18" fillId="26" borderId="10" xfId="0" applyNumberFormat="1" applyFont="1" applyFill="1" applyBorder="1" applyAlignment="1">
      <alignment horizontal="center" vertical="center"/>
    </xf>
    <xf numFmtId="176" fontId="18" fillId="26" borderId="13" xfId="0" applyNumberFormat="1" applyFont="1" applyFill="1" applyBorder="1" applyAlignment="1">
      <alignment horizontal="center" vertical="center"/>
    </xf>
    <xf numFmtId="176" fontId="18" fillId="0" borderId="16" xfId="0" applyNumberFormat="1" applyFont="1" applyBorder="1" applyAlignment="1">
      <alignment horizontal="center" vertical="center"/>
    </xf>
    <xf numFmtId="176" fontId="18" fillId="26" borderId="18" xfId="0" applyNumberFormat="1" applyFont="1" applyFill="1" applyBorder="1" applyAlignment="1">
      <alignment horizontal="center" vertical="center"/>
    </xf>
    <xf numFmtId="0" fontId="12" fillId="0" borderId="38" xfId="0" applyFont="1" applyBorder="1" applyAlignment="1">
      <alignment horizontal="distributed" vertical="center" indent="1"/>
    </xf>
    <xf numFmtId="0" fontId="10" fillId="24" borderId="10" xfId="0" applyFont="1" applyFill="1" applyBorder="1" applyAlignment="1">
      <alignment horizontal="centerContinuous" vertical="center"/>
    </xf>
    <xf numFmtId="0" fontId="2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93" fontId="7" fillId="0" borderId="0" xfId="0" applyNumberFormat="1" applyFont="1">
      <alignment vertical="center"/>
    </xf>
    <xf numFmtId="194" fontId="7" fillId="0" borderId="0" xfId="44" applyNumberFormat="1" applyFont="1" applyAlignment="1">
      <alignment vertical="center"/>
    </xf>
    <xf numFmtId="3" fontId="7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194" fontId="9" fillId="0" borderId="0" xfId="44" applyNumberFormat="1" applyFont="1" applyAlignment="1">
      <alignment vertical="center"/>
    </xf>
    <xf numFmtId="193" fontId="9" fillId="0" borderId="0" xfId="0" applyNumberFormat="1" applyFont="1">
      <alignment vertical="center"/>
    </xf>
    <xf numFmtId="9" fontId="7" fillId="0" borderId="0" xfId="0" applyNumberFormat="1" applyFont="1" applyAlignment="1">
      <alignment horizontal="center" vertical="center"/>
    </xf>
    <xf numFmtId="190" fontId="7" fillId="0" borderId="0" xfId="0" applyNumberFormat="1" applyFont="1" applyAlignment="1">
      <alignment horizontal="center" vertical="center"/>
    </xf>
    <xf numFmtId="195" fontId="7" fillId="0" borderId="0" xfId="44" applyNumberFormat="1" applyFont="1" applyAlignment="1">
      <alignment vertical="center"/>
    </xf>
    <xf numFmtId="0" fontId="21" fillId="0" borderId="0" xfId="0" applyFont="1">
      <alignment vertical="center"/>
    </xf>
    <xf numFmtId="0" fontId="13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1" fontId="16" fillId="0" borderId="0" xfId="33" applyFont="1" applyBorder="1" applyAlignment="1">
      <alignment vertical="center"/>
    </xf>
    <xf numFmtId="41" fontId="16" fillId="0" borderId="0" xfId="33" applyFont="1" applyAlignment="1">
      <alignment vertical="center"/>
    </xf>
    <xf numFmtId="41" fontId="16" fillId="0" borderId="0" xfId="0" applyNumberFormat="1" applyFont="1">
      <alignment vertical="center"/>
    </xf>
    <xf numFmtId="0" fontId="16" fillId="24" borderId="10" xfId="0" applyFont="1" applyFill="1" applyBorder="1" applyAlignment="1">
      <alignment horizontal="centerContinuous" vertical="center"/>
    </xf>
    <xf numFmtId="0" fontId="23" fillId="0" borderId="41" xfId="0" applyFont="1" applyBorder="1">
      <alignment vertical="center"/>
    </xf>
    <xf numFmtId="0" fontId="10" fillId="0" borderId="42" xfId="0" applyFont="1" applyBorder="1">
      <alignment vertical="center"/>
    </xf>
    <xf numFmtId="0" fontId="16" fillId="0" borderId="42" xfId="0" applyFont="1" applyBorder="1">
      <alignment vertical="center"/>
    </xf>
    <xf numFmtId="0" fontId="16" fillId="0" borderId="41" xfId="0" applyFont="1" applyBorder="1">
      <alignment vertical="center"/>
    </xf>
    <xf numFmtId="0" fontId="3" fillId="0" borderId="43" xfId="0" applyFont="1" applyBorder="1">
      <alignment vertical="center"/>
    </xf>
    <xf numFmtId="0" fontId="3" fillId="0" borderId="44" xfId="0" applyFont="1" applyBorder="1">
      <alignment vertical="center"/>
    </xf>
    <xf numFmtId="0" fontId="3" fillId="0" borderId="45" xfId="0" applyFont="1" applyBorder="1">
      <alignment vertical="center"/>
    </xf>
    <xf numFmtId="0" fontId="10" fillId="0" borderId="41" xfId="0" applyFont="1" applyBorder="1" applyAlignment="1">
      <alignment horizontal="right" vertical="center"/>
    </xf>
    <xf numFmtId="0" fontId="18" fillId="0" borderId="29" xfId="0" applyFont="1" applyBorder="1" applyAlignment="1">
      <alignment horizontal="right" vertical="center"/>
    </xf>
    <xf numFmtId="0" fontId="10" fillId="0" borderId="16" xfId="0" applyFont="1" applyBorder="1" applyAlignment="1">
      <alignment horizontal="right" vertical="center"/>
    </xf>
    <xf numFmtId="196" fontId="10" fillId="0" borderId="46" xfId="0" applyNumberFormat="1" applyFont="1" applyBorder="1" applyAlignment="1">
      <alignment horizontal="right" vertical="center"/>
    </xf>
    <xf numFmtId="196" fontId="10" fillId="0" borderId="10" xfId="0" applyNumberFormat="1" applyFont="1" applyBorder="1" applyAlignment="1">
      <alignment horizontal="right" vertical="center"/>
    </xf>
    <xf numFmtId="41" fontId="10" fillId="0" borderId="47" xfId="0" applyNumberFormat="1" applyFont="1" applyBorder="1" applyAlignment="1">
      <alignment horizontal="right" vertical="center"/>
    </xf>
    <xf numFmtId="41" fontId="10" fillId="0" borderId="16" xfId="0" applyNumberFormat="1" applyFont="1" applyBorder="1" applyAlignment="1">
      <alignment horizontal="right" vertical="center"/>
    </xf>
    <xf numFmtId="178" fontId="18" fillId="26" borderId="10" xfId="0" applyNumberFormat="1" applyFont="1" applyFill="1" applyBorder="1" applyAlignment="1">
      <alignment horizontal="center" vertical="center"/>
    </xf>
    <xf numFmtId="178" fontId="18" fillId="26" borderId="16" xfId="0" applyNumberFormat="1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178" fontId="18" fillId="0" borderId="16" xfId="0" applyNumberFormat="1" applyFont="1" applyBorder="1" applyAlignment="1">
      <alignment horizontal="center" vertical="center"/>
    </xf>
    <xf numFmtId="41" fontId="10" fillId="0" borderId="10" xfId="0" applyNumberFormat="1" applyFont="1" applyBorder="1" applyAlignment="1">
      <alignment horizontal="right" vertical="center"/>
    </xf>
    <xf numFmtId="0" fontId="14" fillId="0" borderId="56" xfId="0" applyFont="1" applyBorder="1">
      <alignment vertical="center"/>
    </xf>
    <xf numFmtId="0" fontId="14" fillId="0" borderId="57" xfId="0" applyFont="1" applyBorder="1">
      <alignment vertical="center"/>
    </xf>
    <xf numFmtId="0" fontId="13" fillId="0" borderId="18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16" xfId="0" applyFont="1" applyBorder="1" applyAlignment="1">
      <alignment vertical="center" wrapText="1"/>
    </xf>
    <xf numFmtId="0" fontId="15" fillId="0" borderId="29" xfId="0" applyFont="1" applyBorder="1" applyAlignment="1">
      <alignment horizontal="center" vertical="center"/>
    </xf>
    <xf numFmtId="0" fontId="10" fillId="0" borderId="39" xfId="0" applyFont="1" applyBorder="1" applyAlignment="1">
      <alignment horizontal="right" vertical="center"/>
    </xf>
    <xf numFmtId="0" fontId="9" fillId="0" borderId="43" xfId="0" applyFont="1" applyBorder="1" applyAlignment="1">
      <alignment horizontal="right" vertical="center"/>
    </xf>
    <xf numFmtId="0" fontId="46" fillId="0" borderId="45" xfId="0" applyFont="1" applyBorder="1" applyAlignment="1">
      <alignment horizontal="left" vertical="center"/>
    </xf>
    <xf numFmtId="0" fontId="15" fillId="0" borderId="25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/>
    </xf>
    <xf numFmtId="0" fontId="13" fillId="0" borderId="59" xfId="0" applyFont="1" applyBorder="1" applyAlignment="1">
      <alignment horizontal="left" vertical="center" wrapText="1"/>
    </xf>
    <xf numFmtId="0" fontId="12" fillId="0" borderId="45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right" vertical="center"/>
    </xf>
    <xf numFmtId="0" fontId="18" fillId="0" borderId="6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27" borderId="15" xfId="0" applyFont="1" applyFill="1" applyBorder="1" applyAlignment="1">
      <alignment horizontal="center" vertical="center"/>
    </xf>
    <xf numFmtId="0" fontId="10" fillId="0" borderId="29" xfId="0" applyFont="1" applyBorder="1">
      <alignment vertical="center"/>
    </xf>
    <xf numFmtId="0" fontId="10" fillId="0" borderId="48" xfId="0" applyFont="1" applyBorder="1" applyAlignment="1">
      <alignment horizontal="center"/>
    </xf>
    <xf numFmtId="0" fontId="10" fillId="0" borderId="48" xfId="0" applyFont="1" applyBorder="1">
      <alignment vertical="center"/>
    </xf>
    <xf numFmtId="0" fontId="10" fillId="0" borderId="46" xfId="0" applyFont="1" applyBorder="1">
      <alignment vertical="center"/>
    </xf>
    <xf numFmtId="0" fontId="18" fillId="0" borderId="60" xfId="0" applyFont="1" applyBorder="1">
      <alignment vertical="center"/>
    </xf>
    <xf numFmtId="0" fontId="18" fillId="0" borderId="61" xfId="0" applyFont="1" applyBorder="1" applyAlignment="1">
      <alignment horizontal="center" vertical="center" textRotation="90"/>
    </xf>
    <xf numFmtId="0" fontId="17" fillId="0" borderId="13" xfId="0" applyFont="1" applyBorder="1" applyAlignment="1">
      <alignment horizontal="left" vertical="top" wrapText="1"/>
    </xf>
    <xf numFmtId="0" fontId="17" fillId="0" borderId="18" xfId="0" applyFont="1" applyBorder="1" applyAlignment="1">
      <alignment horizontal="left" vertical="top" wrapText="1"/>
    </xf>
    <xf numFmtId="0" fontId="18" fillId="0" borderId="28" xfId="0" applyFont="1" applyBorder="1" applyAlignment="1">
      <alignment horizontal="right" vertical="center"/>
    </xf>
    <xf numFmtId="0" fontId="10" fillId="24" borderId="64" xfId="0" applyFont="1" applyFill="1" applyBorder="1" applyAlignment="1">
      <alignment horizontal="center" vertical="center"/>
    </xf>
    <xf numFmtId="0" fontId="10" fillId="24" borderId="65" xfId="0" applyFont="1" applyFill="1" applyBorder="1" applyAlignment="1">
      <alignment horizontal="center" vertical="center"/>
    </xf>
    <xf numFmtId="0" fontId="10" fillId="24" borderId="10" xfId="0" applyFont="1" applyFill="1" applyBorder="1" applyAlignment="1">
      <alignment horizontal="center" vertical="center"/>
    </xf>
    <xf numFmtId="0" fontId="10" fillId="24" borderId="35" xfId="0" applyFont="1" applyFill="1" applyBorder="1" applyAlignment="1">
      <alignment horizontal="center" vertical="center"/>
    </xf>
    <xf numFmtId="0" fontId="17" fillId="24" borderId="66" xfId="0" applyFont="1" applyFill="1" applyBorder="1" applyAlignment="1">
      <alignment horizontal="distributed" vertical="center"/>
    </xf>
    <xf numFmtId="177" fontId="10" fillId="25" borderId="67" xfId="0" applyNumberFormat="1" applyFont="1" applyFill="1" applyBorder="1" applyAlignment="1">
      <alignment horizontal="center" vertical="center"/>
    </xf>
    <xf numFmtId="177" fontId="10" fillId="26" borderId="31" xfId="0" applyNumberFormat="1" applyFont="1" applyFill="1" applyBorder="1" applyAlignment="1">
      <alignment horizontal="center" vertical="center"/>
    </xf>
    <xf numFmtId="0" fontId="10" fillId="24" borderId="60" xfId="0" applyFont="1" applyFill="1" applyBorder="1" applyAlignment="1">
      <alignment horizontal="center" vertical="center"/>
    </xf>
    <xf numFmtId="177" fontId="10" fillId="0" borderId="33" xfId="0" applyNumberFormat="1" applyFont="1" applyBorder="1" applyAlignment="1">
      <alignment horizontal="center" vertical="center"/>
    </xf>
    <xf numFmtId="177" fontId="10" fillId="25" borderId="10" xfId="0" applyNumberFormat="1" applyFont="1" applyFill="1" applyBorder="1" applyAlignment="1">
      <alignment horizontal="center" vertical="center"/>
    </xf>
    <xf numFmtId="177" fontId="10" fillId="0" borderId="10" xfId="0" applyNumberFormat="1" applyFont="1" applyBorder="1" applyAlignment="1">
      <alignment horizontal="center" vertical="center"/>
    </xf>
    <xf numFmtId="0" fontId="10" fillId="0" borderId="69" xfId="0" applyFont="1" applyBorder="1">
      <alignment vertical="center"/>
    </xf>
    <xf numFmtId="0" fontId="10" fillId="0" borderId="69" xfId="0" applyFont="1" applyBorder="1" applyAlignment="1">
      <alignment horizontal="center" vertical="center"/>
    </xf>
    <xf numFmtId="0" fontId="10" fillId="24" borderId="68" xfId="0" applyFont="1" applyFill="1" applyBorder="1" applyAlignment="1">
      <alignment horizontal="centerContinuous" vertical="center"/>
    </xf>
    <xf numFmtId="182" fontId="10" fillId="0" borderId="10" xfId="0" applyNumberFormat="1" applyFont="1" applyBorder="1">
      <alignment vertical="center"/>
    </xf>
    <xf numFmtId="0" fontId="48" fillId="0" borderId="41" xfId="0" applyFont="1" applyBorder="1">
      <alignment vertical="center"/>
    </xf>
    <xf numFmtId="0" fontId="48" fillId="0" borderId="0" xfId="0" applyFont="1">
      <alignment vertical="center"/>
    </xf>
    <xf numFmtId="0" fontId="10" fillId="0" borderId="41" xfId="0" applyFont="1" applyBorder="1">
      <alignment vertical="center"/>
    </xf>
    <xf numFmtId="0" fontId="17" fillId="0" borderId="31" xfId="0" applyFont="1" applyBorder="1">
      <alignment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176" fontId="10" fillId="0" borderId="31" xfId="0" applyNumberFormat="1" applyFont="1" applyBorder="1" applyAlignment="1">
      <alignment horizontal="center" vertical="center"/>
    </xf>
    <xf numFmtId="178" fontId="10" fillId="0" borderId="31" xfId="0" applyNumberFormat="1" applyFont="1" applyBorder="1" applyAlignment="1">
      <alignment horizontal="center" vertical="center"/>
    </xf>
    <xf numFmtId="186" fontId="10" fillId="0" borderId="31" xfId="0" applyNumberFormat="1" applyFont="1" applyBorder="1" applyAlignment="1">
      <alignment horizontal="center" vertical="center"/>
    </xf>
    <xf numFmtId="179" fontId="10" fillId="0" borderId="32" xfId="0" applyNumberFormat="1" applyFont="1" applyBorder="1" applyAlignment="1">
      <alignment horizontal="center" vertical="center"/>
    </xf>
    <xf numFmtId="176" fontId="10" fillId="0" borderId="10" xfId="0" applyNumberFormat="1" applyFont="1" applyBorder="1" applyAlignment="1">
      <alignment horizontal="center" vertical="center"/>
    </xf>
    <xf numFmtId="178" fontId="10" fillId="0" borderId="10" xfId="0" applyNumberFormat="1" applyFont="1" applyBorder="1" applyAlignment="1">
      <alignment horizontal="center" vertical="center"/>
    </xf>
    <xf numFmtId="179" fontId="10" fillId="0" borderId="16" xfId="0" applyNumberFormat="1" applyFont="1" applyBorder="1" applyAlignment="1">
      <alignment horizontal="center" vertical="center"/>
    </xf>
    <xf numFmtId="0" fontId="10" fillId="0" borderId="77" xfId="0" applyFont="1" applyBorder="1">
      <alignment vertical="center"/>
    </xf>
    <xf numFmtId="177" fontId="10" fillId="26" borderId="10" xfId="0" applyNumberFormat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4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185" fontId="18" fillId="0" borderId="0" xfId="0" applyNumberFormat="1" applyFont="1">
      <alignment vertical="center"/>
    </xf>
    <xf numFmtId="0" fontId="10" fillId="0" borderId="13" xfId="0" applyFont="1" applyBorder="1" applyAlignment="1">
      <alignment horizontal="center" vertical="center"/>
    </xf>
    <xf numFmtId="184" fontId="10" fillId="0" borderId="16" xfId="0" applyNumberFormat="1" applyFont="1" applyBorder="1" applyAlignment="1">
      <alignment horizontal="center" vertical="center"/>
    </xf>
    <xf numFmtId="0" fontId="46" fillId="0" borderId="56" xfId="0" applyFont="1" applyBorder="1">
      <alignment vertical="center"/>
    </xf>
    <xf numFmtId="185" fontId="18" fillId="0" borderId="0" xfId="33" applyNumberFormat="1" applyFont="1" applyFill="1" applyBorder="1" applyAlignment="1">
      <alignment horizontal="right" vertical="center"/>
    </xf>
    <xf numFmtId="183" fontId="10" fillId="0" borderId="33" xfId="29" applyNumberFormat="1" applyFont="1" applyBorder="1">
      <alignment vertical="center"/>
    </xf>
    <xf numFmtId="0" fontId="10" fillId="24" borderId="63" xfId="0" applyFont="1" applyFill="1" applyBorder="1" applyAlignment="1">
      <alignment horizontal="centerContinuous" vertical="center"/>
    </xf>
    <xf numFmtId="0" fontId="10" fillId="24" borderId="60" xfId="0" applyFont="1" applyFill="1" applyBorder="1" applyAlignment="1">
      <alignment horizontal="centerContinuous" vertical="center"/>
    </xf>
    <xf numFmtId="0" fontId="10" fillId="24" borderId="33" xfId="0" applyFont="1" applyFill="1" applyBorder="1" applyAlignment="1">
      <alignment horizontal="center" vertical="center"/>
    </xf>
    <xf numFmtId="0" fontId="10" fillId="24" borderId="62" xfId="0" applyFont="1" applyFill="1" applyBorder="1" applyAlignment="1">
      <alignment horizontal="centerContinuous" vertical="center"/>
    </xf>
    <xf numFmtId="0" fontId="10" fillId="24" borderId="16" xfId="0" applyFont="1" applyFill="1" applyBorder="1" applyAlignment="1">
      <alignment horizontal="center" vertical="center"/>
    </xf>
    <xf numFmtId="0" fontId="10" fillId="0" borderId="16" xfId="0" applyFont="1" applyBorder="1">
      <alignment vertical="center"/>
    </xf>
    <xf numFmtId="0" fontId="10" fillId="24" borderId="46" xfId="0" applyFont="1" applyFill="1" applyBorder="1" applyAlignment="1">
      <alignment horizontal="center" vertical="center"/>
    </xf>
    <xf numFmtId="183" fontId="10" fillId="0" borderId="46" xfId="29" applyNumberFormat="1" applyFont="1" applyBorder="1">
      <alignment vertical="center"/>
    </xf>
    <xf numFmtId="183" fontId="10" fillId="0" borderId="40" xfId="29" applyNumberFormat="1" applyFont="1" applyBorder="1">
      <alignment vertical="center"/>
    </xf>
    <xf numFmtId="181" fontId="10" fillId="0" borderId="10" xfId="0" applyNumberFormat="1" applyFont="1" applyBorder="1">
      <alignment vertical="center"/>
    </xf>
    <xf numFmtId="9" fontId="10" fillId="0" borderId="46" xfId="29" applyFont="1" applyBorder="1">
      <alignment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188" fontId="17" fillId="0" borderId="15" xfId="0" applyNumberFormat="1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5" xfId="0" applyFont="1" applyBorder="1">
      <alignment vertical="center"/>
    </xf>
    <xf numFmtId="0" fontId="17" fillId="0" borderId="17" xfId="0" applyFont="1" applyBorder="1">
      <alignment vertical="center"/>
    </xf>
    <xf numFmtId="0" fontId="17" fillId="0" borderId="58" xfId="0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0" fontId="17" fillId="0" borderId="6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1" xfId="0" applyFont="1" applyBorder="1">
      <alignment vertical="center"/>
    </xf>
    <xf numFmtId="0" fontId="13" fillId="25" borderId="25" xfId="0" applyFont="1" applyFill="1" applyBorder="1" applyAlignment="1">
      <alignment horizontal="center" vertical="center"/>
    </xf>
    <xf numFmtId="0" fontId="13" fillId="25" borderId="26" xfId="0" applyFont="1" applyFill="1" applyBorder="1">
      <alignment vertical="center"/>
    </xf>
    <xf numFmtId="0" fontId="12" fillId="25" borderId="26" xfId="0" applyFont="1" applyFill="1" applyBorder="1">
      <alignment vertical="center"/>
    </xf>
    <xf numFmtId="0" fontId="12" fillId="25" borderId="26" xfId="0" applyFont="1" applyFill="1" applyBorder="1" applyAlignment="1">
      <alignment horizontal="right" vertical="center"/>
    </xf>
    <xf numFmtId="0" fontId="13" fillId="25" borderId="27" xfId="0" applyFont="1" applyFill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5" fillId="25" borderId="25" xfId="0" applyFont="1" applyFill="1" applyBorder="1" applyAlignment="1">
      <alignment horizontal="centerContinuous" vertical="center"/>
    </xf>
    <xf numFmtId="0" fontId="16" fillId="25" borderId="26" xfId="0" applyFont="1" applyFill="1" applyBorder="1" applyAlignment="1">
      <alignment horizontal="centerContinuous" vertical="center"/>
    </xf>
    <xf numFmtId="0" fontId="16" fillId="25" borderId="27" xfId="0" applyFont="1" applyFill="1" applyBorder="1" applyAlignment="1">
      <alignment horizontal="centerContinuous" vertical="center"/>
    </xf>
    <xf numFmtId="0" fontId="15" fillId="24" borderId="19" xfId="0" applyFont="1" applyFill="1" applyBorder="1" applyAlignment="1">
      <alignment horizontal="center" vertical="center"/>
    </xf>
    <xf numFmtId="0" fontId="15" fillId="24" borderId="24" xfId="0" applyFont="1" applyFill="1" applyBorder="1" applyAlignment="1">
      <alignment horizontal="center" vertical="center" wrapText="1"/>
    </xf>
    <xf numFmtId="0" fontId="15" fillId="24" borderId="24" xfId="0" applyFont="1" applyFill="1" applyBorder="1" applyAlignment="1">
      <alignment horizontal="center" vertical="center"/>
    </xf>
    <xf numFmtId="0" fontId="15" fillId="24" borderId="20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8" fillId="24" borderId="14" xfId="0" applyFont="1" applyFill="1" applyBorder="1" applyAlignment="1">
      <alignment horizontal="center" vertical="center"/>
    </xf>
    <xf numFmtId="0" fontId="18" fillId="24" borderId="22" xfId="0" applyFont="1" applyFill="1" applyBorder="1" applyAlignment="1">
      <alignment horizontal="center" vertical="center" wrapText="1"/>
    </xf>
    <xf numFmtId="0" fontId="18" fillId="24" borderId="22" xfId="0" applyFont="1" applyFill="1" applyBorder="1" applyAlignment="1">
      <alignment horizontal="center" vertical="center"/>
    </xf>
    <xf numFmtId="0" fontId="18" fillId="24" borderId="23" xfId="0" applyFont="1" applyFill="1" applyBorder="1" applyAlignment="1">
      <alignment horizontal="center" vertical="center"/>
    </xf>
    <xf numFmtId="187" fontId="52" fillId="0" borderId="78" xfId="0" applyNumberFormat="1" applyFont="1" applyBorder="1" applyAlignment="1">
      <alignment horizontal="centerContinuous" vertical="center"/>
    </xf>
    <xf numFmtId="0" fontId="3" fillId="0" borderId="21" xfId="0" applyFont="1" applyBorder="1" applyAlignment="1">
      <alignment horizontal="centerContinuous" vertical="center"/>
    </xf>
    <xf numFmtId="0" fontId="3" fillId="0" borderId="79" xfId="0" applyFont="1" applyBorder="1" applyAlignment="1">
      <alignment horizontal="centerContinuous" vertical="center"/>
    </xf>
    <xf numFmtId="0" fontId="3" fillId="0" borderId="45" xfId="0" applyFont="1" applyBorder="1" applyAlignment="1">
      <alignment horizontal="center" vertical="center"/>
    </xf>
    <xf numFmtId="0" fontId="46" fillId="0" borderId="0" xfId="0" applyFont="1">
      <alignment vertical="center"/>
    </xf>
    <xf numFmtId="0" fontId="9" fillId="0" borderId="41" xfId="0" applyFont="1" applyBorder="1" applyAlignment="1">
      <alignment horizontal="right" vertical="center"/>
    </xf>
    <xf numFmtId="0" fontId="15" fillId="24" borderId="60" xfId="0" applyFont="1" applyFill="1" applyBorder="1" applyAlignment="1">
      <alignment horizontal="centerContinuous" vertical="center"/>
    </xf>
    <xf numFmtId="0" fontId="15" fillId="24" borderId="10" xfId="0" applyFont="1" applyFill="1" applyBorder="1" applyAlignment="1">
      <alignment horizontal="centerContinuous" vertical="center"/>
    </xf>
    <xf numFmtId="0" fontId="15" fillId="24" borderId="16" xfId="0" applyFont="1" applyFill="1" applyBorder="1" applyAlignment="1">
      <alignment horizontal="centerContinuous" vertical="center"/>
    </xf>
    <xf numFmtId="0" fontId="9" fillId="0" borderId="56" xfId="0" applyFont="1" applyBorder="1">
      <alignment vertical="center"/>
    </xf>
    <xf numFmtId="0" fontId="15" fillId="0" borderId="77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37" fontId="15" fillId="0" borderId="77" xfId="0" applyNumberFormat="1" applyFont="1" applyBorder="1" applyAlignment="1">
      <alignment horizontal="center" vertical="center"/>
    </xf>
    <xf numFmtId="191" fontId="15" fillId="0" borderId="10" xfId="0" applyNumberFormat="1" applyFont="1" applyBorder="1" applyAlignment="1">
      <alignment horizontal="center" vertical="center"/>
    </xf>
    <xf numFmtId="192" fontId="15" fillId="0" borderId="80" xfId="0" applyNumberFormat="1" applyFont="1" applyBorder="1" applyAlignment="1">
      <alignment horizontal="center" vertical="center"/>
    </xf>
    <xf numFmtId="37" fontId="10" fillId="0" borderId="77" xfId="0" applyNumberFormat="1" applyFont="1" applyBorder="1" applyAlignment="1">
      <alignment horizontal="right" vertical="center"/>
    </xf>
    <xf numFmtId="199" fontId="10" fillId="0" borderId="10" xfId="0" applyNumberFormat="1" applyFont="1" applyBorder="1" applyAlignment="1">
      <alignment horizontal="right" vertical="center"/>
    </xf>
    <xf numFmtId="37" fontId="10" fillId="0" borderId="77" xfId="0" applyNumberFormat="1" applyFont="1" applyBorder="1" applyAlignment="1">
      <alignment horizontal="center" vertical="center"/>
    </xf>
    <xf numFmtId="198" fontId="10" fillId="0" borderId="10" xfId="44" applyNumberFormat="1" applyFont="1" applyBorder="1" applyAlignment="1">
      <alignment horizontal="right" vertical="center"/>
    </xf>
    <xf numFmtId="41" fontId="10" fillId="0" borderId="10" xfId="33" applyFont="1" applyBorder="1" applyAlignment="1">
      <alignment horizontal="right" vertical="center"/>
    </xf>
    <xf numFmtId="0" fontId="22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right" vertical="center"/>
    </xf>
    <xf numFmtId="37" fontId="10" fillId="0" borderId="48" xfId="0" applyNumberFormat="1" applyFont="1" applyBorder="1" applyAlignment="1">
      <alignment horizontal="right" vertical="center"/>
    </xf>
    <xf numFmtId="0" fontId="10" fillId="0" borderId="77" xfId="0" applyFont="1" applyBorder="1" applyAlignment="1">
      <alignment horizontal="right" vertical="center"/>
    </xf>
    <xf numFmtId="9" fontId="10" fillId="0" borderId="10" xfId="29" applyFont="1" applyBorder="1" applyAlignment="1">
      <alignment horizontal="center" vertical="center"/>
    </xf>
    <xf numFmtId="0" fontId="25" fillId="0" borderId="56" xfId="0" applyFont="1" applyBorder="1">
      <alignment vertical="center"/>
    </xf>
    <xf numFmtId="0" fontId="25" fillId="0" borderId="57" xfId="0" applyFont="1" applyBorder="1">
      <alignment vertical="center"/>
    </xf>
    <xf numFmtId="191" fontId="15" fillId="0" borderId="16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left" vertical="center"/>
    </xf>
    <xf numFmtId="199" fontId="10" fillId="0" borderId="16" xfId="0" applyNumberFormat="1" applyFont="1" applyBorder="1" applyAlignment="1">
      <alignment horizontal="right" vertical="center"/>
    </xf>
    <xf numFmtId="0" fontId="18" fillId="0" borderId="29" xfId="0" applyFont="1" applyBorder="1" applyAlignment="1">
      <alignment horizontal="left" vertical="center"/>
    </xf>
    <xf numFmtId="41" fontId="10" fillId="0" borderId="16" xfId="33" applyFont="1" applyBorder="1" applyAlignment="1">
      <alignment horizontal="right" vertical="center"/>
    </xf>
    <xf numFmtId="0" fontId="18" fillId="0" borderId="30" xfId="0" applyFont="1" applyBorder="1" applyAlignment="1">
      <alignment horizontal="right" vertical="center"/>
    </xf>
    <xf numFmtId="0" fontId="10" fillId="0" borderId="81" xfId="0" applyFont="1" applyBorder="1" applyAlignment="1">
      <alignment horizontal="center" vertical="center"/>
    </xf>
    <xf numFmtId="41" fontId="10" fillId="0" borderId="18" xfId="33" applyFont="1" applyBorder="1" applyAlignment="1">
      <alignment horizontal="right" vertical="center"/>
    </xf>
    <xf numFmtId="37" fontId="10" fillId="0" borderId="10" xfId="0" applyNumberFormat="1" applyFont="1" applyBorder="1" applyAlignment="1">
      <alignment horizontal="right" vertical="center"/>
    </xf>
    <xf numFmtId="192" fontId="10" fillId="0" borderId="81" xfId="0" applyNumberFormat="1" applyFont="1" applyBorder="1">
      <alignment vertical="center"/>
    </xf>
    <xf numFmtId="193" fontId="18" fillId="0" borderId="13" xfId="0" applyNumberFormat="1" applyFont="1" applyBorder="1" applyAlignment="1">
      <alignment horizontal="center" vertical="center"/>
    </xf>
    <xf numFmtId="41" fontId="10" fillId="0" borderId="13" xfId="33" applyFont="1" applyBorder="1" applyAlignment="1">
      <alignment horizontal="right" vertical="center"/>
    </xf>
    <xf numFmtId="193" fontId="10" fillId="0" borderId="81" xfId="0" applyNumberFormat="1" applyFont="1" applyBorder="1">
      <alignment vertical="center"/>
    </xf>
    <xf numFmtId="0" fontId="9" fillId="0" borderId="0" xfId="0" applyFont="1" applyAlignment="1">
      <alignment horizontal="right" vertical="center"/>
    </xf>
    <xf numFmtId="0" fontId="9" fillId="0" borderId="42" xfId="0" applyFont="1" applyBorder="1">
      <alignment vertical="center"/>
    </xf>
    <xf numFmtId="0" fontId="10" fillId="0" borderId="38" xfId="0" applyFont="1" applyBorder="1" applyAlignment="1">
      <alignment horizontal="right" vertical="center"/>
    </xf>
    <xf numFmtId="0" fontId="10" fillId="0" borderId="39" xfId="0" applyFont="1" applyBorder="1" applyAlignment="1">
      <alignment horizontal="left" vertical="center"/>
    </xf>
    <xf numFmtId="0" fontId="10" fillId="0" borderId="39" xfId="0" applyFont="1" applyBorder="1">
      <alignment vertical="center"/>
    </xf>
    <xf numFmtId="0" fontId="18" fillId="0" borderId="69" xfId="0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right" vertical="center"/>
    </xf>
    <xf numFmtId="0" fontId="18" fillId="0" borderId="38" xfId="0" applyFont="1" applyBorder="1" applyAlignment="1">
      <alignment horizontal="right" vertical="center"/>
    </xf>
    <xf numFmtId="0" fontId="18" fillId="0" borderId="39" xfId="0" applyFont="1" applyBorder="1" applyAlignment="1">
      <alignment horizontal="left" vertical="center"/>
    </xf>
    <xf numFmtId="0" fontId="18" fillId="0" borderId="39" xfId="0" applyFont="1" applyBorder="1">
      <alignment vertical="center"/>
    </xf>
    <xf numFmtId="0" fontId="10" fillId="0" borderId="56" xfId="0" applyFont="1" applyBorder="1" applyAlignment="1">
      <alignment horizontal="right" vertical="center"/>
    </xf>
    <xf numFmtId="194" fontId="10" fillId="0" borderId="69" xfId="0" applyNumberFormat="1" applyFont="1" applyBorder="1" applyAlignment="1">
      <alignment horizontal="right" vertical="center"/>
    </xf>
    <xf numFmtId="194" fontId="10" fillId="0" borderId="40" xfId="0" applyNumberFormat="1" applyFont="1" applyBorder="1" applyAlignment="1">
      <alignment horizontal="right" vertical="center"/>
    </xf>
    <xf numFmtId="0" fontId="18" fillId="0" borderId="83" xfId="0" applyFont="1" applyBorder="1" applyAlignment="1">
      <alignment horizontal="center" vertical="center"/>
    </xf>
    <xf numFmtId="0" fontId="18" fillId="0" borderId="69" xfId="0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/>
    </xf>
    <xf numFmtId="0" fontId="10" fillId="0" borderId="84" xfId="0" applyFont="1" applyBorder="1" applyAlignment="1">
      <alignment horizontal="center" vertical="center"/>
    </xf>
    <xf numFmtId="197" fontId="10" fillId="0" borderId="82" xfId="0" applyNumberFormat="1" applyFont="1" applyBorder="1" applyAlignment="1">
      <alignment horizontal="center" vertical="center"/>
    </xf>
    <xf numFmtId="186" fontId="10" fillId="0" borderId="82" xfId="0" applyNumberFormat="1" applyFont="1" applyBorder="1" applyAlignment="1">
      <alignment horizontal="center" vertical="center"/>
    </xf>
    <xf numFmtId="0" fontId="18" fillId="0" borderId="48" xfId="0" applyFont="1" applyBorder="1">
      <alignment vertical="center"/>
    </xf>
    <xf numFmtId="0" fontId="14" fillId="0" borderId="41" xfId="0" applyFont="1" applyBorder="1">
      <alignment vertical="center"/>
    </xf>
    <xf numFmtId="204" fontId="10" fillId="0" borderId="82" xfId="0" applyNumberFormat="1" applyFont="1" applyBorder="1" applyAlignment="1">
      <alignment horizontal="right" vertical="center"/>
    </xf>
    <xf numFmtId="204" fontId="10" fillId="0" borderId="42" xfId="0" applyNumberFormat="1" applyFont="1" applyBorder="1" applyAlignment="1">
      <alignment horizontal="right" vertical="center"/>
    </xf>
    <xf numFmtId="0" fontId="10" fillId="0" borderId="57" xfId="0" applyFont="1" applyBorder="1" applyAlignment="1">
      <alignment horizontal="right" vertical="center"/>
    </xf>
    <xf numFmtId="176" fontId="10" fillId="0" borderId="47" xfId="0" applyNumberFormat="1" applyFont="1" applyBorder="1" applyAlignment="1">
      <alignment horizontal="right" vertical="center"/>
    </xf>
    <xf numFmtId="186" fontId="10" fillId="0" borderId="47" xfId="0" applyNumberFormat="1" applyFont="1" applyBorder="1" applyAlignment="1">
      <alignment horizontal="right" vertical="center"/>
    </xf>
    <xf numFmtId="186" fontId="10" fillId="0" borderId="0" xfId="0" applyNumberFormat="1" applyFont="1" applyAlignment="1">
      <alignment horizontal="right" vertical="center"/>
    </xf>
    <xf numFmtId="41" fontId="10" fillId="0" borderId="32" xfId="0" applyNumberFormat="1" applyFont="1" applyBorder="1" applyAlignment="1">
      <alignment horizontal="right" vertical="center"/>
    </xf>
    <xf numFmtId="0" fontId="22" fillId="0" borderId="48" xfId="0" applyFont="1" applyBorder="1">
      <alignment vertical="center"/>
    </xf>
    <xf numFmtId="0" fontId="55" fillId="28" borderId="85" xfId="0" applyFont="1" applyFill="1" applyBorder="1" applyAlignment="1">
      <alignment horizontal="center" vertical="center"/>
    </xf>
    <xf numFmtId="0" fontId="55" fillId="28" borderId="86" xfId="0" applyFont="1" applyFill="1" applyBorder="1" applyAlignment="1">
      <alignment horizontal="center" vertical="center"/>
    </xf>
    <xf numFmtId="0" fontId="54" fillId="28" borderId="87" xfId="0" applyFont="1" applyFill="1" applyBorder="1" applyAlignment="1">
      <alignment horizontal="center" vertical="center"/>
    </xf>
    <xf numFmtId="0" fontId="54" fillId="28" borderId="88" xfId="0" applyFont="1" applyFill="1" applyBorder="1" applyAlignment="1">
      <alignment horizontal="center" vertical="center"/>
    </xf>
    <xf numFmtId="201" fontId="54" fillId="28" borderId="88" xfId="0" applyNumberFormat="1" applyFont="1" applyFill="1" applyBorder="1">
      <alignment vertical="center"/>
    </xf>
    <xf numFmtId="201" fontId="54" fillId="28" borderId="89" xfId="0" applyNumberFormat="1" applyFont="1" applyFill="1" applyBorder="1">
      <alignment vertical="center"/>
    </xf>
    <xf numFmtId="43" fontId="16" fillId="0" borderId="10" xfId="0" applyNumberFormat="1" applyFont="1" applyBorder="1">
      <alignment vertical="center"/>
    </xf>
    <xf numFmtId="41" fontId="16" fillId="0" borderId="10" xfId="0" applyNumberFormat="1" applyFont="1" applyBorder="1">
      <alignment vertical="center"/>
    </xf>
    <xf numFmtId="206" fontId="16" fillId="0" borderId="1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207" fontId="16" fillId="0" borderId="0" xfId="0" applyNumberFormat="1" applyFont="1" applyAlignment="1">
      <alignment horizontal="center" vertical="center"/>
    </xf>
    <xf numFmtId="183" fontId="16" fillId="0" borderId="42" xfId="0" applyNumberFormat="1" applyFont="1" applyBorder="1" applyAlignment="1">
      <alignment horizontal="center" vertical="center"/>
    </xf>
    <xf numFmtId="0" fontId="55" fillId="28" borderId="90" xfId="0" applyFont="1" applyFill="1" applyBorder="1" applyAlignment="1">
      <alignment horizontal="center" vertical="center"/>
    </xf>
    <xf numFmtId="0" fontId="54" fillId="28" borderId="91" xfId="0" applyFont="1" applyFill="1" applyBorder="1" applyAlignment="1">
      <alignment horizontal="center" vertical="center"/>
    </xf>
    <xf numFmtId="201" fontId="54" fillId="28" borderId="92" xfId="0" applyNumberFormat="1" applyFont="1" applyFill="1" applyBorder="1">
      <alignment vertical="center"/>
    </xf>
    <xf numFmtId="183" fontId="16" fillId="0" borderId="60" xfId="0" applyNumberFormat="1" applyFont="1" applyBorder="1" applyAlignment="1">
      <alignment horizontal="center" vertical="center"/>
    </xf>
    <xf numFmtId="41" fontId="16" fillId="0" borderId="16" xfId="0" applyNumberFormat="1" applyFont="1" applyBorder="1">
      <alignment vertical="center"/>
    </xf>
    <xf numFmtId="0" fontId="16" fillId="0" borderId="43" xfId="0" applyFont="1" applyBorder="1">
      <alignment vertical="center"/>
    </xf>
    <xf numFmtId="0" fontId="16" fillId="0" borderId="44" xfId="0" applyFont="1" applyBorder="1">
      <alignment vertical="center"/>
    </xf>
    <xf numFmtId="0" fontId="16" fillId="0" borderId="45" xfId="0" applyFont="1" applyBorder="1">
      <alignment vertical="center"/>
    </xf>
    <xf numFmtId="0" fontId="16" fillId="0" borderId="56" xfId="0" applyFont="1" applyBorder="1">
      <alignment vertical="center"/>
    </xf>
    <xf numFmtId="0" fontId="16" fillId="0" borderId="57" xfId="0" applyFont="1" applyBorder="1">
      <alignment vertical="center"/>
    </xf>
    <xf numFmtId="0" fontId="15" fillId="0" borderId="41" xfId="0" applyFont="1" applyBorder="1">
      <alignment vertical="center"/>
    </xf>
    <xf numFmtId="0" fontId="15" fillId="0" borderId="0" xfId="0" applyFont="1">
      <alignment vertical="center"/>
    </xf>
    <xf numFmtId="0" fontId="15" fillId="24" borderId="60" xfId="0" applyFont="1" applyFill="1" applyBorder="1" applyAlignment="1">
      <alignment horizontal="center" vertical="center"/>
    </xf>
    <xf numFmtId="0" fontId="15" fillId="24" borderId="10" xfId="0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Continuous" vertical="center"/>
    </xf>
    <xf numFmtId="0" fontId="15" fillId="24" borderId="16" xfId="0" applyFont="1" applyFill="1" applyBorder="1" applyAlignment="1">
      <alignment horizontal="center" vertical="center"/>
    </xf>
    <xf numFmtId="0" fontId="10" fillId="0" borderId="83" xfId="0" applyFont="1" applyBorder="1">
      <alignment vertical="center"/>
    </xf>
    <xf numFmtId="0" fontId="10" fillId="0" borderId="116" xfId="0" applyFont="1" applyBorder="1">
      <alignment vertical="center"/>
    </xf>
    <xf numFmtId="0" fontId="10" fillId="0" borderId="40" xfId="0" applyFont="1" applyBorder="1">
      <alignment vertical="center"/>
    </xf>
    <xf numFmtId="0" fontId="10" fillId="0" borderId="84" xfId="0" applyFont="1" applyBorder="1">
      <alignment vertical="center"/>
    </xf>
    <xf numFmtId="0" fontId="10" fillId="0" borderId="117" xfId="0" applyFont="1" applyBorder="1">
      <alignment vertical="center"/>
    </xf>
    <xf numFmtId="0" fontId="10" fillId="0" borderId="80" xfId="0" applyFont="1" applyBorder="1">
      <alignment vertical="center"/>
    </xf>
    <xf numFmtId="0" fontId="10" fillId="0" borderId="56" xfId="0" applyFont="1" applyBorder="1">
      <alignment vertical="center"/>
    </xf>
    <xf numFmtId="0" fontId="10" fillId="0" borderId="67" xfId="0" applyFont="1" applyBorder="1">
      <alignment vertical="center"/>
    </xf>
    <xf numFmtId="0" fontId="10" fillId="0" borderId="57" xfId="0" applyFont="1" applyBorder="1">
      <alignment vertical="center"/>
    </xf>
    <xf numFmtId="0" fontId="10" fillId="27" borderId="10" xfId="0" applyFont="1" applyFill="1" applyBorder="1">
      <alignment vertical="center"/>
    </xf>
    <xf numFmtId="0" fontId="10" fillId="27" borderId="16" xfId="0" applyFont="1" applyFill="1" applyBorder="1">
      <alignment vertical="center"/>
    </xf>
    <xf numFmtId="0" fontId="56" fillId="0" borderId="56" xfId="0" applyFont="1" applyBorder="1">
      <alignment vertical="center"/>
    </xf>
    <xf numFmtId="0" fontId="56" fillId="0" borderId="57" xfId="0" applyFont="1" applyBorder="1">
      <alignment vertical="center"/>
    </xf>
    <xf numFmtId="0" fontId="10" fillId="0" borderId="69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left" vertical="center" indent="1"/>
    </xf>
    <xf numFmtId="0" fontId="10" fillId="0" borderId="43" xfId="0" applyFont="1" applyBorder="1" applyAlignment="1">
      <alignment horizontal="left" vertical="center" indent="1"/>
    </xf>
    <xf numFmtId="0" fontId="10" fillId="0" borderId="44" xfId="0" applyFont="1" applyBorder="1">
      <alignment vertical="center"/>
    </xf>
    <xf numFmtId="0" fontId="10" fillId="0" borderId="45" xfId="0" applyFont="1" applyBorder="1">
      <alignment vertical="center"/>
    </xf>
    <xf numFmtId="0" fontId="10" fillId="0" borderId="33" xfId="0" applyFont="1" applyBorder="1">
      <alignment vertical="center"/>
    </xf>
    <xf numFmtId="176" fontId="10" fillId="0" borderId="33" xfId="0" applyNumberFormat="1" applyFont="1" applyBorder="1" applyAlignment="1">
      <alignment horizontal="center" vertical="center"/>
    </xf>
    <xf numFmtId="176" fontId="10" fillId="0" borderId="48" xfId="0" applyNumberFormat="1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2" xfId="0" applyFont="1" applyBorder="1" applyAlignment="1">
      <alignment horizontal="right" vertical="center"/>
    </xf>
    <xf numFmtId="199" fontId="10" fillId="0" borderId="31" xfId="0" applyNumberFormat="1" applyFont="1" applyBorder="1" applyAlignment="1">
      <alignment horizontal="right" vertical="center"/>
    </xf>
    <xf numFmtId="208" fontId="10" fillId="0" borderId="82" xfId="0" applyNumberFormat="1" applyFont="1" applyBorder="1" applyAlignment="1">
      <alignment horizontal="center" vertical="center"/>
    </xf>
    <xf numFmtId="199" fontId="10" fillId="0" borderId="0" xfId="0" applyNumberFormat="1" applyFont="1" applyAlignment="1">
      <alignment horizontal="right" vertical="center"/>
    </xf>
    <xf numFmtId="0" fontId="46" fillId="0" borderId="44" xfId="0" applyFont="1" applyBorder="1">
      <alignment vertical="center"/>
    </xf>
    <xf numFmtId="0" fontId="17" fillId="0" borderId="31" xfId="0" applyFont="1" applyBorder="1" applyAlignment="1">
      <alignment horizontal="center" vertical="center" shrinkToFit="1"/>
    </xf>
    <xf numFmtId="0" fontId="17" fillId="0" borderId="32" xfId="0" applyFont="1" applyBorder="1" applyAlignment="1">
      <alignment horizontal="center" vertical="center" shrinkToFit="1"/>
    </xf>
    <xf numFmtId="199" fontId="10" fillId="0" borderId="10" xfId="44" applyNumberFormat="1" applyFont="1" applyBorder="1" applyAlignment="1">
      <alignment horizontal="right" vertical="center"/>
    </xf>
    <xf numFmtId="210" fontId="59" fillId="0" borderId="0" xfId="0" applyNumberFormat="1" applyFont="1">
      <alignment vertical="center"/>
    </xf>
    <xf numFmtId="199" fontId="10" fillId="0" borderId="47" xfId="33" applyNumberFormat="1" applyFont="1" applyBorder="1" applyAlignment="1">
      <alignment horizontal="right" vertical="center"/>
    </xf>
    <xf numFmtId="205" fontId="10" fillId="0" borderId="82" xfId="0" applyNumberFormat="1" applyFont="1" applyBorder="1" applyAlignment="1">
      <alignment horizontal="right" vertical="center"/>
    </xf>
    <xf numFmtId="205" fontId="10" fillId="0" borderId="42" xfId="0" applyNumberFormat="1" applyFont="1" applyBorder="1" applyAlignment="1">
      <alignment horizontal="right" vertical="center"/>
    </xf>
    <xf numFmtId="177" fontId="10" fillId="0" borderId="31" xfId="0" applyNumberFormat="1" applyFont="1" applyBorder="1" applyAlignment="1">
      <alignment horizontal="right" vertical="center"/>
    </xf>
    <xf numFmtId="199" fontId="10" fillId="0" borderId="10" xfId="33" applyNumberFormat="1" applyFont="1" applyFill="1" applyBorder="1" applyAlignment="1">
      <alignment horizontal="right" vertical="center"/>
    </xf>
    <xf numFmtId="199" fontId="10" fillId="0" borderId="16" xfId="33" applyNumberFormat="1" applyFont="1" applyFill="1" applyBorder="1" applyAlignment="1">
      <alignment horizontal="right" vertical="center"/>
    </xf>
    <xf numFmtId="199" fontId="10" fillId="0" borderId="18" xfId="33" applyNumberFormat="1" applyFont="1" applyFill="1" applyBorder="1" applyAlignment="1">
      <alignment horizontal="right" vertical="center"/>
    </xf>
    <xf numFmtId="199" fontId="10" fillId="0" borderId="69" xfId="33" applyNumberFormat="1" applyFont="1" applyBorder="1" applyAlignment="1">
      <alignment horizontal="right" vertical="center"/>
    </xf>
    <xf numFmtId="199" fontId="10" fillId="0" borderId="40" xfId="33" applyNumberFormat="1" applyFont="1" applyBorder="1" applyAlignment="1">
      <alignment horizontal="right" vertical="center"/>
    </xf>
    <xf numFmtId="199" fontId="10" fillId="0" borderId="57" xfId="33" applyNumberFormat="1" applyFont="1" applyBorder="1" applyAlignment="1">
      <alignment horizontal="right" vertical="center"/>
    </xf>
    <xf numFmtId="41" fontId="59" fillId="0" borderId="0" xfId="33" applyFont="1" applyFill="1" applyBorder="1" applyAlignment="1">
      <alignment vertical="center"/>
    </xf>
    <xf numFmtId="177" fontId="59" fillId="0" borderId="0" xfId="0" applyNumberFormat="1" applyFont="1">
      <alignment vertical="center"/>
    </xf>
    <xf numFmtId="0" fontId="59" fillId="0" borderId="0" xfId="0" applyFont="1">
      <alignment vertical="center"/>
    </xf>
    <xf numFmtId="41" fontId="59" fillId="0" borderId="0" xfId="0" applyNumberFormat="1" applyFont="1">
      <alignment vertical="center"/>
    </xf>
    <xf numFmtId="10" fontId="59" fillId="0" borderId="0" xfId="29" applyNumberFormat="1" applyFont="1" applyAlignment="1">
      <alignment vertical="center"/>
    </xf>
    <xf numFmtId="202" fontId="59" fillId="0" borderId="0" xfId="0" applyNumberFormat="1" applyFont="1">
      <alignment vertical="center"/>
    </xf>
    <xf numFmtId="10" fontId="59" fillId="0" borderId="0" xfId="0" applyNumberFormat="1" applyFont="1">
      <alignment vertical="center"/>
    </xf>
    <xf numFmtId="0" fontId="17" fillId="0" borderId="42" xfId="0" applyFont="1" applyBorder="1" applyAlignment="1">
      <alignment horizontal="right" vertical="center"/>
    </xf>
    <xf numFmtId="41" fontId="59" fillId="0" borderId="0" xfId="33" applyFont="1" applyAlignment="1">
      <alignment vertical="center"/>
    </xf>
    <xf numFmtId="199" fontId="59" fillId="0" borderId="0" xfId="33" quotePrefix="1" applyNumberFormat="1" applyFont="1" applyFill="1" applyBorder="1" applyAlignment="1">
      <alignment vertical="center"/>
    </xf>
    <xf numFmtId="199" fontId="59" fillId="0" borderId="0" xfId="33" applyNumberFormat="1" applyFont="1" applyAlignment="1">
      <alignment vertical="center"/>
    </xf>
    <xf numFmtId="199" fontId="10" fillId="0" borderId="10" xfId="33" applyNumberFormat="1" applyFont="1" applyBorder="1" applyAlignment="1">
      <alignment horizontal="right" vertical="center"/>
    </xf>
    <xf numFmtId="199" fontId="10" fillId="0" borderId="48" xfId="0" applyNumberFormat="1" applyFont="1" applyBorder="1" applyAlignment="1">
      <alignment horizontal="right" vertical="center"/>
    </xf>
    <xf numFmtId="199" fontId="10" fillId="0" borderId="77" xfId="0" applyNumberFormat="1" applyFont="1" applyBorder="1" applyAlignment="1">
      <alignment horizontal="right" vertical="center"/>
    </xf>
    <xf numFmtId="0" fontId="65" fillId="0" borderId="0" xfId="0" applyFont="1">
      <alignment vertical="center"/>
    </xf>
    <xf numFmtId="0" fontId="66" fillId="0" borderId="43" xfId="0" applyFont="1" applyBorder="1" applyAlignment="1">
      <alignment horizontal="right" vertical="center"/>
    </xf>
    <xf numFmtId="0" fontId="67" fillId="0" borderId="44" xfId="0" applyFont="1" applyBorder="1" applyAlignment="1">
      <alignment horizontal="left" vertical="center"/>
    </xf>
    <xf numFmtId="0" fontId="67" fillId="0" borderId="45" xfId="0" applyFont="1" applyBorder="1" applyAlignment="1">
      <alignment horizontal="left" vertical="center"/>
    </xf>
    <xf numFmtId="0" fontId="68" fillId="0" borderId="25" xfId="0" applyFont="1" applyBorder="1" applyAlignment="1">
      <alignment horizontal="center" vertical="center"/>
    </xf>
    <xf numFmtId="0" fontId="59" fillId="0" borderId="0" xfId="0" applyFont="1" applyAlignment="1">
      <alignment vertical="center" wrapText="1"/>
    </xf>
    <xf numFmtId="0" fontId="69" fillId="0" borderId="29" xfId="0" applyFont="1" applyBorder="1" applyAlignment="1">
      <alignment horizontal="distributed" vertical="center" indent="1"/>
    </xf>
    <xf numFmtId="0" fontId="69" fillId="0" borderId="30" xfId="0" applyFont="1" applyBorder="1" applyAlignment="1">
      <alignment horizontal="distributed" vertical="center" indent="1"/>
    </xf>
    <xf numFmtId="0" fontId="66" fillId="0" borderId="25" xfId="0" applyFont="1" applyBorder="1">
      <alignment vertical="center"/>
    </xf>
    <xf numFmtId="0" fontId="59" fillId="0" borderId="26" xfId="0" applyFont="1" applyBorder="1" applyAlignment="1">
      <alignment horizontal="left" vertical="center" wrapText="1"/>
    </xf>
    <xf numFmtId="0" fontId="59" fillId="0" borderId="27" xfId="0" applyFont="1" applyBorder="1" applyAlignment="1">
      <alignment horizontal="left" vertical="center" wrapText="1"/>
    </xf>
    <xf numFmtId="0" fontId="68" fillId="0" borderId="25" xfId="0" applyFont="1" applyBorder="1" applyAlignment="1">
      <alignment horizontal="center" vertical="center" shrinkToFit="1"/>
    </xf>
    <xf numFmtId="0" fontId="65" fillId="0" borderId="0" xfId="0" applyFont="1" applyAlignment="1">
      <alignment wrapText="1"/>
    </xf>
    <xf numFmtId="0" fontId="68" fillId="0" borderId="29" xfId="0" applyFont="1" applyBorder="1" applyAlignment="1">
      <alignment horizontal="center" vertical="center"/>
    </xf>
    <xf numFmtId="0" fontId="70" fillId="0" borderId="57" xfId="0" applyFont="1" applyBorder="1">
      <alignment vertical="center"/>
    </xf>
    <xf numFmtId="0" fontId="69" fillId="0" borderId="60" xfId="0" applyFont="1" applyBorder="1" applyAlignment="1">
      <alignment horizontal="center" vertical="center" wrapText="1"/>
    </xf>
    <xf numFmtId="0" fontId="69" fillId="0" borderId="10" xfId="0" applyFont="1" applyBorder="1" applyAlignment="1">
      <alignment horizontal="center" vertical="center" wrapText="1"/>
    </xf>
    <xf numFmtId="0" fontId="69" fillId="0" borderId="16" xfId="0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67" fillId="0" borderId="0" xfId="0" applyFont="1">
      <alignment vertical="center"/>
    </xf>
    <xf numFmtId="0" fontId="59" fillId="0" borderId="36" xfId="0" applyFont="1" applyBorder="1" applyAlignment="1">
      <alignment horizontal="center" vertical="center"/>
    </xf>
    <xf numFmtId="0" fontId="59" fillId="0" borderId="15" xfId="0" applyFont="1" applyBorder="1" applyAlignment="1">
      <alignment horizontal="center" vertical="center"/>
    </xf>
    <xf numFmtId="0" fontId="59" fillId="27" borderId="15" xfId="0" applyFont="1" applyFill="1" applyBorder="1" applyAlignment="1">
      <alignment horizontal="center" vertical="center"/>
    </xf>
    <xf numFmtId="0" fontId="59" fillId="0" borderId="29" xfId="0" applyFont="1" applyBorder="1">
      <alignment vertical="center"/>
    </xf>
    <xf numFmtId="0" fontId="59" fillId="0" borderId="48" xfId="0" applyFont="1" applyBorder="1" applyAlignment="1">
      <alignment horizontal="center"/>
    </xf>
    <xf numFmtId="0" fontId="59" fillId="0" borderId="48" xfId="0" applyFont="1" applyBorder="1">
      <alignment vertical="center"/>
    </xf>
    <xf numFmtId="0" fontId="59" fillId="0" borderId="46" xfId="0" applyFont="1" applyBorder="1">
      <alignment vertical="center"/>
    </xf>
    <xf numFmtId="0" fontId="69" fillId="0" borderId="60" xfId="0" applyFont="1" applyBorder="1">
      <alignment vertical="center"/>
    </xf>
    <xf numFmtId="0" fontId="69" fillId="0" borderId="61" xfId="0" applyFont="1" applyBorder="1" applyAlignment="1">
      <alignment horizontal="center" vertical="center" textRotation="90"/>
    </xf>
    <xf numFmtId="0" fontId="59" fillId="0" borderId="13" xfId="0" applyFont="1" applyBorder="1" applyAlignment="1">
      <alignment horizontal="left" vertical="top" wrapText="1"/>
    </xf>
    <xf numFmtId="0" fontId="59" fillId="0" borderId="18" xfId="0" applyFont="1" applyBorder="1" applyAlignment="1">
      <alignment horizontal="left" vertical="top" wrapText="1"/>
    </xf>
    <xf numFmtId="0" fontId="65" fillId="0" borderId="0" xfId="0" applyFont="1" applyAlignment="1">
      <alignment horizontal="center" wrapText="1"/>
    </xf>
    <xf numFmtId="0" fontId="65" fillId="0" borderId="0" xfId="0" applyFont="1" applyAlignment="1">
      <alignment horizontal="center" vertical="top" wrapText="1"/>
    </xf>
    <xf numFmtId="0" fontId="65" fillId="0" borderId="0" xfId="0" applyFont="1" applyAlignment="1">
      <alignment horizontal="center"/>
    </xf>
    <xf numFmtId="0" fontId="70" fillId="0" borderId="56" xfId="0" applyFont="1" applyBorder="1">
      <alignment vertical="center"/>
    </xf>
    <xf numFmtId="0" fontId="74" fillId="0" borderId="38" xfId="0" applyFont="1" applyBorder="1">
      <alignment vertical="center"/>
    </xf>
    <xf numFmtId="0" fontId="65" fillId="0" borderId="39" xfId="0" applyFont="1" applyBorder="1">
      <alignment vertical="center"/>
    </xf>
    <xf numFmtId="0" fontId="65" fillId="0" borderId="40" xfId="0" applyFont="1" applyBorder="1">
      <alignment vertical="center"/>
    </xf>
    <xf numFmtId="0" fontId="74" fillId="0" borderId="41" xfId="0" applyFont="1" applyBorder="1">
      <alignment vertical="center"/>
    </xf>
    <xf numFmtId="0" fontId="59" fillId="0" borderId="42" xfId="0" applyFont="1" applyBorder="1">
      <alignment vertical="center"/>
    </xf>
    <xf numFmtId="0" fontId="59" fillId="24" borderId="62" xfId="0" applyFont="1" applyFill="1" applyBorder="1" applyAlignment="1">
      <alignment horizontal="centerContinuous" vertical="center"/>
    </xf>
    <xf numFmtId="0" fontId="59" fillId="24" borderId="63" xfId="0" applyFont="1" applyFill="1" applyBorder="1" applyAlignment="1">
      <alignment horizontal="centerContinuous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65" xfId="0" applyFont="1" applyFill="1" applyBorder="1" applyAlignment="1">
      <alignment horizontal="center" vertical="center"/>
    </xf>
    <xf numFmtId="0" fontId="59" fillId="24" borderId="10" xfId="0" applyFont="1" applyFill="1" applyBorder="1" applyAlignment="1">
      <alignment horizontal="center" vertical="center"/>
    </xf>
    <xf numFmtId="0" fontId="69" fillId="24" borderId="16" xfId="0" applyFont="1" applyFill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9" fillId="24" borderId="35" xfId="0" applyFont="1" applyFill="1" applyBorder="1" applyAlignment="1">
      <alignment horizontal="center" vertical="center"/>
    </xf>
    <xf numFmtId="0" fontId="59" fillId="24" borderId="66" xfId="0" applyFont="1" applyFill="1" applyBorder="1" applyAlignment="1">
      <alignment horizontal="distributed" vertical="center"/>
    </xf>
    <xf numFmtId="177" fontId="59" fillId="25" borderId="67" xfId="0" applyNumberFormat="1" applyFont="1" applyFill="1" applyBorder="1" applyAlignment="1">
      <alignment horizontal="center" vertical="center"/>
    </xf>
    <xf numFmtId="177" fontId="59" fillId="26" borderId="31" xfId="0" applyNumberFormat="1" applyFont="1" applyFill="1" applyBorder="1" applyAlignment="1">
      <alignment horizontal="center" vertical="center"/>
    </xf>
    <xf numFmtId="0" fontId="59" fillId="0" borderId="10" xfId="0" applyFont="1" applyBorder="1">
      <alignment vertical="center"/>
    </xf>
    <xf numFmtId="0" fontId="59" fillId="0" borderId="10" xfId="0" applyFont="1" applyBorder="1" applyAlignment="1">
      <alignment horizontal="center" vertical="center"/>
    </xf>
    <xf numFmtId="180" fontId="59" fillId="0" borderId="10" xfId="0" applyNumberFormat="1" applyFont="1" applyBorder="1">
      <alignment vertical="center"/>
    </xf>
    <xf numFmtId="183" fontId="69" fillId="0" borderId="16" xfId="29" applyNumberFormat="1" applyFont="1" applyBorder="1">
      <alignment vertical="center"/>
    </xf>
    <xf numFmtId="184" fontId="59" fillId="0" borderId="0" xfId="0" applyNumberFormat="1" applyFont="1" applyAlignment="1">
      <alignment horizontal="center" vertical="center"/>
    </xf>
    <xf numFmtId="0" fontId="59" fillId="24" borderId="60" xfId="0" applyFont="1" applyFill="1" applyBorder="1" applyAlignment="1">
      <alignment horizontal="center" vertical="center"/>
    </xf>
    <xf numFmtId="177" fontId="59" fillId="0" borderId="33" xfId="0" applyNumberFormat="1" applyFont="1" applyBorder="1" applyAlignment="1">
      <alignment horizontal="center" vertical="center"/>
    </xf>
    <xf numFmtId="177" fontId="59" fillId="25" borderId="10" xfId="0" applyNumberFormat="1" applyFont="1" applyFill="1" applyBorder="1" applyAlignment="1">
      <alignment horizontal="center" vertical="center"/>
    </xf>
    <xf numFmtId="177" fontId="59" fillId="0" borderId="10" xfId="0" applyNumberFormat="1" applyFont="1" applyBorder="1" applyAlignment="1">
      <alignment horizontal="center" vertical="center"/>
    </xf>
    <xf numFmtId="0" fontId="59" fillId="0" borderId="69" xfId="0" applyFont="1" applyBorder="1">
      <alignment vertical="center"/>
    </xf>
    <xf numFmtId="0" fontId="59" fillId="0" borderId="69" xfId="0" applyFont="1" applyBorder="1" applyAlignment="1">
      <alignment horizontal="center" vertical="center"/>
    </xf>
    <xf numFmtId="180" fontId="59" fillId="0" borderId="69" xfId="0" applyNumberFormat="1" applyFont="1" applyBorder="1">
      <alignment vertical="center"/>
    </xf>
    <xf numFmtId="183" fontId="69" fillId="0" borderId="59" xfId="29" applyNumberFormat="1" applyFont="1" applyBorder="1">
      <alignment vertical="center"/>
    </xf>
    <xf numFmtId="0" fontId="59" fillId="24" borderId="60" xfId="0" applyFont="1" applyFill="1" applyBorder="1" applyAlignment="1">
      <alignment horizontal="centerContinuous" vertical="center"/>
    </xf>
    <xf numFmtId="0" fontId="59" fillId="24" borderId="68" xfId="0" applyFont="1" applyFill="1" applyBorder="1" applyAlignment="1">
      <alignment horizontal="centerContinuous" vertical="center"/>
    </xf>
    <xf numFmtId="0" fontId="59" fillId="24" borderId="10" xfId="0" applyFont="1" applyFill="1" applyBorder="1" applyAlignment="1">
      <alignment horizontal="centerContinuous" vertical="center"/>
    </xf>
    <xf numFmtId="182" fontId="59" fillId="0" borderId="10" xfId="0" applyNumberFormat="1" applyFont="1" applyBorder="1">
      <alignment vertical="center"/>
    </xf>
    <xf numFmtId="0" fontId="67" fillId="0" borderId="42" xfId="0" applyFont="1" applyBorder="1">
      <alignment vertical="center"/>
    </xf>
    <xf numFmtId="0" fontId="75" fillId="0" borderId="41" xfId="0" applyFont="1" applyBorder="1">
      <alignment vertical="center"/>
    </xf>
    <xf numFmtId="0" fontId="75" fillId="0" borderId="0" xfId="0" applyFont="1">
      <alignment vertical="center"/>
    </xf>
    <xf numFmtId="180" fontId="69" fillId="0" borderId="0" xfId="0" applyNumberFormat="1" applyFont="1">
      <alignment vertical="center"/>
    </xf>
    <xf numFmtId="0" fontId="59" fillId="0" borderId="41" xfId="0" applyFont="1" applyBorder="1">
      <alignment vertical="center"/>
    </xf>
    <xf numFmtId="0" fontId="59" fillId="0" borderId="43" xfId="0" applyFont="1" applyBorder="1">
      <alignment vertical="center"/>
    </xf>
    <xf numFmtId="0" fontId="59" fillId="0" borderId="44" xfId="0" applyFont="1" applyBorder="1">
      <alignment vertical="center"/>
    </xf>
    <xf numFmtId="0" fontId="59" fillId="0" borderId="45" xfId="0" applyFont="1" applyBorder="1">
      <alignment vertical="center"/>
    </xf>
    <xf numFmtId="0" fontId="74" fillId="0" borderId="0" xfId="0" applyFont="1">
      <alignment vertical="center"/>
    </xf>
    <xf numFmtId="0" fontId="59" fillId="24" borderId="71" xfId="0" applyFont="1" applyFill="1" applyBorder="1" applyAlignment="1">
      <alignment horizontal="centerContinuous" vertical="center"/>
    </xf>
    <xf numFmtId="0" fontId="59" fillId="24" borderId="72" xfId="0" applyFont="1" applyFill="1" applyBorder="1" applyAlignment="1">
      <alignment horizontal="centerContinuous" vertical="center"/>
    </xf>
    <xf numFmtId="0" fontId="59" fillId="24" borderId="73" xfId="0" applyFont="1" applyFill="1" applyBorder="1" applyAlignment="1">
      <alignment horizontal="center" vertical="center"/>
    </xf>
    <xf numFmtId="0" fontId="59" fillId="24" borderId="74" xfId="0" applyFont="1" applyFill="1" applyBorder="1" applyAlignment="1">
      <alignment horizontal="center" vertical="center"/>
    </xf>
    <xf numFmtId="0" fontId="59" fillId="24" borderId="75" xfId="0" applyFont="1" applyFill="1" applyBorder="1" applyAlignment="1">
      <alignment horizontal="center" vertical="center"/>
    </xf>
    <xf numFmtId="183" fontId="59" fillId="0" borderId="67" xfId="29" applyNumberFormat="1" applyFont="1" applyBorder="1">
      <alignment vertical="center"/>
    </xf>
    <xf numFmtId="183" fontId="59" fillId="0" borderId="31" xfId="29" applyNumberFormat="1" applyFont="1" applyBorder="1">
      <alignment vertical="center"/>
    </xf>
    <xf numFmtId="0" fontId="59" fillId="0" borderId="31" xfId="0" applyFont="1" applyBorder="1">
      <alignment vertical="center"/>
    </xf>
    <xf numFmtId="183" fontId="59" fillId="0" borderId="32" xfId="0" applyNumberFormat="1" applyFont="1" applyBorder="1">
      <alignment vertical="center"/>
    </xf>
    <xf numFmtId="0" fontId="59" fillId="24" borderId="36" xfId="0" applyFont="1" applyFill="1" applyBorder="1" applyAlignment="1">
      <alignment horizontal="center" vertical="center"/>
    </xf>
    <xf numFmtId="0" fontId="59" fillId="24" borderId="70" xfId="0" applyFont="1" applyFill="1" applyBorder="1" applyAlignment="1">
      <alignment horizontal="distributed" vertical="center"/>
    </xf>
    <xf numFmtId="0" fontId="59" fillId="24" borderId="61" xfId="0" applyFont="1" applyFill="1" applyBorder="1" applyAlignment="1">
      <alignment horizontal="centerContinuous" vertical="center"/>
    </xf>
    <xf numFmtId="0" fontId="59" fillId="24" borderId="76" xfId="0" applyFont="1" applyFill="1" applyBorder="1" applyAlignment="1">
      <alignment horizontal="centerContinuous" vertical="center"/>
    </xf>
    <xf numFmtId="9" fontId="59" fillId="0" borderId="34" xfId="0" applyNumberFormat="1" applyFont="1" applyBorder="1">
      <alignment vertical="center"/>
    </xf>
    <xf numFmtId="9" fontId="59" fillId="0" borderId="13" xfId="0" applyNumberFormat="1" applyFont="1" applyBorder="1">
      <alignment vertical="center"/>
    </xf>
    <xf numFmtId="9" fontId="59" fillId="0" borderId="18" xfId="0" applyNumberFormat="1" applyFont="1" applyBorder="1">
      <alignment vertical="center"/>
    </xf>
    <xf numFmtId="0" fontId="59" fillId="24" borderId="33" xfId="0" applyFont="1" applyFill="1" applyBorder="1" applyAlignment="1">
      <alignment horizontal="center" vertical="center"/>
    </xf>
    <xf numFmtId="0" fontId="59" fillId="24" borderId="16" xfId="0" applyFont="1" applyFill="1" applyBorder="1" applyAlignment="1">
      <alignment horizontal="center" vertical="center"/>
    </xf>
    <xf numFmtId="183" fontId="59" fillId="0" borderId="33" xfId="29" applyNumberFormat="1" applyFont="1" applyBorder="1">
      <alignment vertical="center"/>
    </xf>
    <xf numFmtId="184" fontId="59" fillId="0" borderId="16" xfId="0" applyNumberFormat="1" applyFont="1" applyBorder="1" applyAlignment="1">
      <alignment horizontal="center" vertical="center"/>
    </xf>
    <xf numFmtId="177" fontId="59" fillId="26" borderId="10" xfId="0" applyNumberFormat="1" applyFont="1" applyFill="1" applyBorder="1" applyAlignment="1">
      <alignment horizontal="center" vertical="center"/>
    </xf>
    <xf numFmtId="0" fontId="59" fillId="0" borderId="16" xfId="0" applyFont="1" applyBorder="1">
      <alignment vertical="center"/>
    </xf>
    <xf numFmtId="185" fontId="69" fillId="0" borderId="0" xfId="33" applyNumberFormat="1" applyFont="1" applyFill="1" applyBorder="1" applyAlignment="1">
      <alignment horizontal="right" vertical="center"/>
    </xf>
    <xf numFmtId="0" fontId="66" fillId="0" borderId="41" xfId="0" applyFont="1" applyBorder="1" applyAlignment="1">
      <alignment horizontal="right" vertical="center"/>
    </xf>
    <xf numFmtId="0" fontId="66" fillId="0" borderId="0" xfId="0" applyFont="1">
      <alignment vertical="center"/>
    </xf>
    <xf numFmtId="0" fontId="66" fillId="0" borderId="42" xfId="0" applyFont="1" applyBorder="1">
      <alignment vertical="center"/>
    </xf>
    <xf numFmtId="0" fontId="68" fillId="24" borderId="60" xfId="0" applyFont="1" applyFill="1" applyBorder="1" applyAlignment="1">
      <alignment horizontal="centerContinuous" vertical="center"/>
    </xf>
    <xf numFmtId="0" fontId="68" fillId="24" borderId="10" xfId="0" applyFont="1" applyFill="1" applyBorder="1" applyAlignment="1">
      <alignment horizontal="centerContinuous" vertical="center"/>
    </xf>
    <xf numFmtId="0" fontId="68" fillId="24" borderId="16" xfId="0" applyFont="1" applyFill="1" applyBorder="1" applyAlignment="1">
      <alignment horizontal="centerContinuous" vertical="center"/>
    </xf>
    <xf numFmtId="0" fontId="59" fillId="0" borderId="31" xfId="0" applyFont="1" applyBorder="1" applyAlignment="1">
      <alignment horizontal="left" vertical="center"/>
    </xf>
    <xf numFmtId="0" fontId="59" fillId="0" borderId="32" xfId="0" applyFont="1" applyBorder="1" applyAlignment="1">
      <alignment horizontal="center" vertical="center"/>
    </xf>
    <xf numFmtId="0" fontId="59" fillId="0" borderId="33" xfId="0" applyFont="1" applyBorder="1" applyAlignment="1">
      <alignment horizontal="left" vertical="center"/>
    </xf>
    <xf numFmtId="0" fontId="59" fillId="0" borderId="16" xfId="0" applyFont="1" applyBorder="1" applyAlignment="1">
      <alignment horizontal="center" vertical="center"/>
    </xf>
    <xf numFmtId="0" fontId="59" fillId="0" borderId="10" xfId="0" applyFont="1" applyBorder="1" applyAlignment="1">
      <alignment horizontal="left" vertical="center"/>
    </xf>
    <xf numFmtId="0" fontId="59" fillId="0" borderId="34" xfId="0" applyFont="1" applyBorder="1" applyAlignment="1">
      <alignment horizontal="left" vertical="center"/>
    </xf>
    <xf numFmtId="0" fontId="59" fillId="0" borderId="13" xfId="0" applyFont="1" applyBorder="1">
      <alignment vertical="center"/>
    </xf>
    <xf numFmtId="0" fontId="59" fillId="0" borderId="18" xfId="0" applyFont="1" applyBorder="1" applyAlignment="1">
      <alignment horizontal="center" vertical="center"/>
    </xf>
    <xf numFmtId="0" fontId="77" fillId="0" borderId="0" xfId="0" applyFont="1">
      <alignment vertical="center"/>
    </xf>
    <xf numFmtId="0" fontId="78" fillId="0" borderId="56" xfId="0" applyFont="1" applyBorder="1">
      <alignment vertical="center"/>
    </xf>
    <xf numFmtId="0" fontId="79" fillId="0" borderId="56" xfId="0" applyFont="1" applyBorder="1">
      <alignment vertical="center"/>
    </xf>
    <xf numFmtId="0" fontId="79" fillId="0" borderId="57" xfId="0" applyFont="1" applyBorder="1">
      <alignment vertical="center"/>
    </xf>
    <xf numFmtId="0" fontId="67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8" fillId="0" borderId="31" xfId="0" applyFont="1" applyBorder="1" applyAlignment="1">
      <alignment horizontal="center" vertical="center"/>
    </xf>
    <xf numFmtId="37" fontId="68" fillId="0" borderId="77" xfId="0" applyNumberFormat="1" applyFont="1" applyBorder="1" applyAlignment="1">
      <alignment horizontal="center" vertical="center"/>
    </xf>
    <xf numFmtId="0" fontId="68" fillId="0" borderId="77" xfId="0" applyFont="1" applyBorder="1" applyAlignment="1">
      <alignment horizontal="center" vertical="center"/>
    </xf>
    <xf numFmtId="191" fontId="68" fillId="0" borderId="10" xfId="0" applyNumberFormat="1" applyFont="1" applyBorder="1" applyAlignment="1">
      <alignment horizontal="center" vertical="center"/>
    </xf>
    <xf numFmtId="192" fontId="68" fillId="0" borderId="80" xfId="0" applyNumberFormat="1" applyFont="1" applyBorder="1" applyAlignment="1">
      <alignment horizontal="center" vertical="center"/>
    </xf>
    <xf numFmtId="191" fontId="68" fillId="0" borderId="16" xfId="0" applyNumberFormat="1" applyFont="1" applyBorder="1" applyAlignment="1">
      <alignment horizontal="center" vertical="center"/>
    </xf>
    <xf numFmtId="0" fontId="59" fillId="0" borderId="29" xfId="0" applyFont="1" applyBorder="1" applyAlignment="1">
      <alignment horizontal="left" vertical="center"/>
    </xf>
    <xf numFmtId="37" fontId="59" fillId="0" borderId="77" xfId="0" applyNumberFormat="1" applyFont="1" applyBorder="1" applyAlignment="1">
      <alignment horizontal="right" vertical="center"/>
    </xf>
    <xf numFmtId="41" fontId="59" fillId="0" borderId="10" xfId="0" applyNumberFormat="1" applyFont="1" applyBorder="1" applyAlignment="1">
      <alignment horizontal="right" vertical="center"/>
    </xf>
    <xf numFmtId="199" fontId="59" fillId="0" borderId="10" xfId="0" applyNumberFormat="1" applyFont="1" applyBorder="1" applyAlignment="1">
      <alignment horizontal="right" vertical="center"/>
    </xf>
    <xf numFmtId="199" fontId="59" fillId="0" borderId="16" xfId="0" applyNumberFormat="1" applyFont="1" applyBorder="1" applyAlignment="1">
      <alignment horizontal="right" vertical="center"/>
    </xf>
    <xf numFmtId="210" fontId="80" fillId="0" borderId="0" xfId="0" applyNumberFormat="1" applyFont="1">
      <alignment vertical="center"/>
    </xf>
    <xf numFmtId="0" fontId="67" fillId="0" borderId="0" xfId="33" applyNumberFormat="1" applyFont="1" applyBorder="1" applyAlignment="1">
      <alignment vertical="center"/>
    </xf>
    <xf numFmtId="41" fontId="67" fillId="0" borderId="0" xfId="33" applyFont="1" applyBorder="1" applyAlignment="1">
      <alignment vertical="center"/>
    </xf>
    <xf numFmtId="37" fontId="59" fillId="0" borderId="77" xfId="0" applyNumberFormat="1" applyFont="1" applyBorder="1" applyAlignment="1">
      <alignment horizontal="center" vertical="center"/>
    </xf>
    <xf numFmtId="199" fontId="59" fillId="0" borderId="10" xfId="44" applyNumberFormat="1" applyFont="1" applyBorder="1" applyAlignment="1">
      <alignment horizontal="right" vertical="center"/>
    </xf>
    <xf numFmtId="198" fontId="59" fillId="0" borderId="10" xfId="44" applyNumberFormat="1" applyFont="1" applyBorder="1" applyAlignment="1">
      <alignment horizontal="right" vertical="center"/>
    </xf>
    <xf numFmtId="41" fontId="67" fillId="0" borderId="0" xfId="33" applyFont="1" applyAlignment="1">
      <alignment vertical="center"/>
    </xf>
    <xf numFmtId="177" fontId="59" fillId="0" borderId="0" xfId="33" applyNumberFormat="1" applyFont="1" applyAlignment="1">
      <alignment vertical="center"/>
    </xf>
    <xf numFmtId="41" fontId="59" fillId="0" borderId="10" xfId="33" applyFont="1" applyBorder="1" applyAlignment="1">
      <alignment horizontal="right" vertical="center"/>
    </xf>
    <xf numFmtId="41" fontId="59" fillId="0" borderId="16" xfId="0" applyNumberFormat="1" applyFont="1" applyBorder="1" applyAlignment="1">
      <alignment horizontal="right" vertical="center"/>
    </xf>
    <xf numFmtId="177" fontId="67" fillId="0" borderId="0" xfId="0" applyNumberFormat="1" applyFont="1">
      <alignment vertical="center"/>
    </xf>
    <xf numFmtId="41" fontId="67" fillId="0" borderId="0" xfId="0" applyNumberFormat="1" applyFont="1">
      <alignment vertical="center"/>
    </xf>
    <xf numFmtId="43" fontId="67" fillId="0" borderId="0" xfId="0" applyNumberFormat="1" applyFont="1">
      <alignment vertical="center"/>
    </xf>
    <xf numFmtId="0" fontId="81" fillId="0" borderId="0" xfId="0" applyFont="1">
      <alignment vertical="center"/>
    </xf>
    <xf numFmtId="199" fontId="59" fillId="0" borderId="0" xfId="0" applyNumberFormat="1" applyFont="1" applyAlignment="1">
      <alignment horizontal="right" vertical="center"/>
    </xf>
    <xf numFmtId="0" fontId="59" fillId="0" borderId="10" xfId="0" applyFont="1" applyBorder="1" applyAlignment="1">
      <alignment horizontal="right" vertical="center"/>
    </xf>
    <xf numFmtId="0" fontId="69" fillId="0" borderId="29" xfId="0" applyFont="1" applyBorder="1" applyAlignment="1">
      <alignment horizontal="left" vertical="center"/>
    </xf>
    <xf numFmtId="0" fontId="59" fillId="0" borderId="16" xfId="0" applyFont="1" applyBorder="1" applyAlignment="1">
      <alignment horizontal="right" vertical="center"/>
    </xf>
    <xf numFmtId="37" fontId="59" fillId="0" borderId="48" xfId="0" applyNumberFormat="1" applyFont="1" applyBorder="1" applyAlignment="1">
      <alignment horizontal="right" vertical="center"/>
    </xf>
    <xf numFmtId="0" fontId="59" fillId="0" borderId="77" xfId="0" applyFont="1" applyBorder="1" applyAlignment="1">
      <alignment horizontal="right" vertical="center"/>
    </xf>
    <xf numFmtId="41" fontId="59" fillId="0" borderId="77" xfId="0" applyNumberFormat="1" applyFont="1" applyBorder="1" applyAlignment="1">
      <alignment horizontal="right" vertical="center"/>
    </xf>
    <xf numFmtId="199" fontId="59" fillId="0" borderId="10" xfId="33" applyNumberFormat="1" applyFont="1" applyBorder="1" applyAlignment="1">
      <alignment horizontal="right" vertical="center"/>
    </xf>
    <xf numFmtId="199" fontId="59" fillId="0" borderId="48" xfId="0" applyNumberFormat="1" applyFont="1" applyBorder="1" applyAlignment="1">
      <alignment horizontal="right" vertical="center"/>
    </xf>
    <xf numFmtId="199" fontId="59" fillId="0" borderId="77" xfId="0" applyNumberFormat="1" applyFont="1" applyBorder="1" applyAlignment="1">
      <alignment horizontal="right" vertical="center"/>
    </xf>
    <xf numFmtId="9" fontId="59" fillId="0" borderId="10" xfId="29" applyFont="1" applyBorder="1" applyAlignment="1">
      <alignment horizontal="center" vertical="center"/>
    </xf>
    <xf numFmtId="41" fontId="59" fillId="0" borderId="48" xfId="0" applyNumberFormat="1" applyFont="1" applyBorder="1" applyAlignment="1">
      <alignment horizontal="right" vertical="center"/>
    </xf>
    <xf numFmtId="41" fontId="59" fillId="0" borderId="16" xfId="33" applyFont="1" applyBorder="1" applyAlignment="1">
      <alignment horizontal="right" vertical="center"/>
    </xf>
    <xf numFmtId="0" fontId="69" fillId="0" borderId="30" xfId="0" applyFont="1" applyBorder="1" applyAlignment="1">
      <alignment horizontal="right" vertical="center"/>
    </xf>
    <xf numFmtId="0" fontId="59" fillId="0" borderId="81" xfId="0" applyFont="1" applyBorder="1" applyAlignment="1">
      <alignment horizontal="center" vertical="center"/>
    </xf>
    <xf numFmtId="41" fontId="59" fillId="0" borderId="81" xfId="0" applyNumberFormat="1" applyFont="1" applyBorder="1">
      <alignment vertical="center"/>
    </xf>
    <xf numFmtId="41" fontId="69" fillId="0" borderId="13" xfId="0" applyNumberFormat="1" applyFont="1" applyBorder="1" applyAlignment="1">
      <alignment horizontal="center" vertical="center"/>
    </xf>
    <xf numFmtId="41" fontId="59" fillId="0" borderId="18" xfId="33" applyFont="1" applyBorder="1" applyAlignment="1">
      <alignment horizontal="right" vertical="center"/>
    </xf>
    <xf numFmtId="0" fontId="65" fillId="0" borderId="0" xfId="0" applyFont="1" applyAlignment="1">
      <alignment horizontal="center" vertical="center"/>
    </xf>
    <xf numFmtId="193" fontId="65" fillId="0" borderId="0" xfId="0" applyNumberFormat="1" applyFont="1">
      <alignment vertical="center"/>
    </xf>
    <xf numFmtId="194" fontId="65" fillId="0" borderId="0" xfId="44" applyNumberFormat="1" applyFont="1" applyAlignment="1">
      <alignment vertical="center"/>
    </xf>
    <xf numFmtId="3" fontId="65" fillId="0" borderId="0" xfId="0" applyNumberFormat="1" applyFont="1" applyAlignment="1">
      <alignment horizontal="center" vertical="center"/>
    </xf>
    <xf numFmtId="194" fontId="66" fillId="0" borderId="0" xfId="44" applyNumberFormat="1" applyFont="1" applyAlignment="1">
      <alignment vertical="center"/>
    </xf>
    <xf numFmtId="193" fontId="66" fillId="0" borderId="0" xfId="0" applyNumberFormat="1" applyFont="1">
      <alignment vertical="center"/>
    </xf>
    <xf numFmtId="9" fontId="65" fillId="0" borderId="0" xfId="0" applyNumberFormat="1" applyFont="1" applyAlignment="1">
      <alignment horizontal="center" vertical="center"/>
    </xf>
    <xf numFmtId="190" fontId="65" fillId="0" borderId="0" xfId="0" applyNumberFormat="1" applyFont="1" applyAlignment="1">
      <alignment horizontal="center" vertical="center"/>
    </xf>
    <xf numFmtId="195" fontId="65" fillId="0" borderId="0" xfId="44" applyNumberFormat="1" applyFont="1" applyAlignment="1">
      <alignment vertical="center"/>
    </xf>
    <xf numFmtId="0" fontId="61" fillId="0" borderId="82" xfId="0" applyFont="1" applyBorder="1" applyAlignment="1">
      <alignment horizontal="center" vertical="center" shrinkToFit="1"/>
    </xf>
    <xf numFmtId="0" fontId="61" fillId="0" borderId="47" xfId="0" applyFont="1" applyBorder="1" applyAlignment="1">
      <alignment horizontal="center" vertical="center" shrinkToFit="1"/>
    </xf>
    <xf numFmtId="0" fontId="66" fillId="0" borderId="0" xfId="0" applyFont="1" applyAlignment="1">
      <alignment horizontal="right" vertical="center"/>
    </xf>
    <xf numFmtId="0" fontId="59" fillId="0" borderId="38" xfId="0" applyFont="1" applyBorder="1" applyAlignment="1">
      <alignment horizontal="right" vertical="center"/>
    </xf>
    <xf numFmtId="0" fontId="59" fillId="0" borderId="39" xfId="0" applyFont="1" applyBorder="1" applyAlignment="1">
      <alignment horizontal="left" vertical="center"/>
    </xf>
    <xf numFmtId="0" fontId="59" fillId="0" borderId="39" xfId="0" applyFont="1" applyBorder="1">
      <alignment vertical="center"/>
    </xf>
    <xf numFmtId="0" fontId="59" fillId="0" borderId="39" xfId="0" applyFont="1" applyBorder="1" applyAlignment="1">
      <alignment horizontal="right" vertical="center"/>
    </xf>
    <xf numFmtId="0" fontId="69" fillId="0" borderId="69" xfId="0" applyFont="1" applyBorder="1" applyAlignment="1">
      <alignment horizontal="center" vertical="center" wrapText="1"/>
    </xf>
    <xf numFmtId="0" fontId="69" fillId="0" borderId="59" xfId="0" applyFont="1" applyBorder="1" applyAlignment="1">
      <alignment horizontal="center" vertical="center" wrapText="1"/>
    </xf>
    <xf numFmtId="0" fontId="59" fillId="0" borderId="41" xfId="0" applyFont="1" applyBorder="1" applyAlignment="1">
      <alignment horizontal="right" vertical="center"/>
    </xf>
    <xf numFmtId="0" fontId="59" fillId="0" borderId="0" xfId="0" applyFont="1" applyAlignment="1">
      <alignment horizontal="right" vertical="center"/>
    </xf>
    <xf numFmtId="0" fontId="69" fillId="0" borderId="38" xfId="0" applyFont="1" applyBorder="1" applyAlignment="1">
      <alignment horizontal="right" vertical="center"/>
    </xf>
    <xf numFmtId="208" fontId="59" fillId="0" borderId="69" xfId="33" applyNumberFormat="1" applyFont="1" applyBorder="1" applyAlignment="1">
      <alignment horizontal="right" vertical="center"/>
    </xf>
    <xf numFmtId="208" fontId="59" fillId="0" borderId="40" xfId="33" applyNumberFormat="1" applyFont="1" applyBorder="1" applyAlignment="1">
      <alignment horizontal="right" vertical="center"/>
    </xf>
    <xf numFmtId="0" fontId="59" fillId="0" borderId="28" xfId="0" applyFont="1" applyBorder="1" applyAlignment="1">
      <alignment horizontal="right" vertical="center"/>
    </xf>
    <xf numFmtId="208" fontId="59" fillId="0" borderId="31" xfId="0" applyNumberFormat="1" applyFont="1" applyBorder="1" applyAlignment="1">
      <alignment horizontal="right" vertical="center"/>
    </xf>
    <xf numFmtId="208" fontId="59" fillId="0" borderId="57" xfId="33" applyNumberFormat="1" applyFont="1" applyBorder="1" applyAlignment="1">
      <alignment horizontal="right" vertical="center"/>
    </xf>
    <xf numFmtId="194" fontId="59" fillId="0" borderId="69" xfId="0" applyNumberFormat="1" applyFont="1" applyBorder="1" applyAlignment="1">
      <alignment horizontal="right" vertical="center"/>
    </xf>
    <xf numFmtId="194" fontId="59" fillId="0" borderId="40" xfId="0" applyNumberFormat="1" applyFont="1" applyBorder="1" applyAlignment="1">
      <alignment horizontal="right" vertical="center"/>
    </xf>
    <xf numFmtId="43" fontId="59" fillId="0" borderId="82" xfId="0" applyNumberFormat="1" applyFont="1" applyBorder="1" applyAlignment="1">
      <alignment horizontal="right" vertical="center"/>
    </xf>
    <xf numFmtId="43" fontId="59" fillId="0" borderId="42" xfId="0" applyNumberFormat="1" applyFont="1" applyBorder="1" applyAlignment="1">
      <alignment horizontal="right" vertical="center"/>
    </xf>
    <xf numFmtId="0" fontId="69" fillId="0" borderId="28" xfId="0" applyFont="1" applyBorder="1" applyAlignment="1">
      <alignment horizontal="right" vertical="center"/>
    </xf>
    <xf numFmtId="199" fontId="59" fillId="0" borderId="31" xfId="0" applyNumberFormat="1" applyFont="1" applyBorder="1" applyAlignment="1">
      <alignment horizontal="right" vertical="center"/>
    </xf>
    <xf numFmtId="199" fontId="59" fillId="0" borderId="57" xfId="0" applyNumberFormat="1" applyFont="1" applyBorder="1" applyAlignment="1">
      <alignment horizontal="right" vertical="center"/>
    </xf>
    <xf numFmtId="196" fontId="59" fillId="0" borderId="10" xfId="0" applyNumberFormat="1" applyFont="1" applyBorder="1" applyAlignment="1">
      <alignment horizontal="right" vertical="center"/>
    </xf>
    <xf numFmtId="196" fontId="59" fillId="0" borderId="46" xfId="0" applyNumberFormat="1" applyFont="1" applyBorder="1" applyAlignment="1">
      <alignment horizontal="right" vertical="center"/>
    </xf>
    <xf numFmtId="199" fontId="59" fillId="0" borderId="82" xfId="0" applyNumberFormat="1" applyFont="1" applyBorder="1" applyAlignment="1">
      <alignment horizontal="right" vertical="center"/>
    </xf>
    <xf numFmtId="199" fontId="59" fillId="0" borderId="42" xfId="0" applyNumberFormat="1" applyFont="1" applyBorder="1" applyAlignment="1">
      <alignment horizontal="right" vertical="center"/>
    </xf>
    <xf numFmtId="0" fontId="68" fillId="0" borderId="0" xfId="0" applyFont="1">
      <alignment vertical="center"/>
    </xf>
    <xf numFmtId="0" fontId="69" fillId="0" borderId="39" xfId="0" applyFont="1" applyBorder="1" applyAlignment="1">
      <alignment horizontal="left" vertical="center"/>
    </xf>
    <xf numFmtId="0" fontId="69" fillId="0" borderId="39" xfId="0" applyFont="1" applyBorder="1">
      <alignment vertical="center"/>
    </xf>
    <xf numFmtId="0" fontId="69" fillId="0" borderId="83" xfId="0" applyFont="1" applyBorder="1" applyAlignment="1">
      <alignment horizontal="center" vertical="center"/>
    </xf>
    <xf numFmtId="0" fontId="69" fillId="0" borderId="69" xfId="0" applyFont="1" applyBorder="1" applyAlignment="1">
      <alignment horizontal="center" vertical="center"/>
    </xf>
    <xf numFmtId="0" fontId="69" fillId="0" borderId="83" xfId="0" applyFont="1" applyBorder="1" applyAlignment="1">
      <alignment horizontal="center" vertical="center" wrapText="1"/>
    </xf>
    <xf numFmtId="0" fontId="69" fillId="0" borderId="59" xfId="0" applyFont="1" applyBorder="1" applyAlignment="1">
      <alignment horizontal="center" vertical="center"/>
    </xf>
    <xf numFmtId="0" fontId="59" fillId="0" borderId="50" xfId="0" applyFont="1" applyBorder="1">
      <alignment vertical="center"/>
    </xf>
    <xf numFmtId="0" fontId="59" fillId="0" borderId="54" xfId="0" applyFont="1" applyBorder="1" applyAlignment="1">
      <alignment horizontal="center" vertical="center"/>
    </xf>
    <xf numFmtId="0" fontId="59" fillId="0" borderId="55" xfId="0" applyFont="1" applyBorder="1" applyAlignment="1">
      <alignment horizontal="center" vertical="center"/>
    </xf>
    <xf numFmtId="0" fontId="59" fillId="0" borderId="84" xfId="0" applyFont="1" applyBorder="1" applyAlignment="1">
      <alignment horizontal="center" vertical="center"/>
    </xf>
    <xf numFmtId="208" fontId="59" fillId="0" borderId="82" xfId="0" applyNumberFormat="1" applyFont="1" applyBorder="1" applyAlignment="1">
      <alignment horizontal="center" vertical="center"/>
    </xf>
    <xf numFmtId="197" fontId="59" fillId="0" borderId="82" xfId="0" applyNumberFormat="1" applyFont="1" applyBorder="1" applyAlignment="1">
      <alignment horizontal="center" vertical="center"/>
    </xf>
    <xf numFmtId="208" fontId="59" fillId="0" borderId="0" xfId="0" applyNumberFormat="1" applyFont="1" applyAlignment="1">
      <alignment horizontal="right" vertical="center"/>
    </xf>
    <xf numFmtId="208" fontId="59" fillId="0" borderId="47" xfId="0" applyNumberFormat="1" applyFont="1" applyBorder="1" applyAlignment="1">
      <alignment horizontal="right" vertical="center"/>
    </xf>
    <xf numFmtId="0" fontId="80" fillId="0" borderId="51" xfId="0" applyFont="1" applyBorder="1" applyAlignment="1">
      <alignment horizontal="center" vertical="center"/>
    </xf>
    <xf numFmtId="41" fontId="59" fillId="0" borderId="53" xfId="0" applyNumberFormat="1" applyFont="1" applyBorder="1">
      <alignment vertical="center"/>
    </xf>
    <xf numFmtId="183" fontId="59" fillId="0" borderId="0" xfId="0" applyNumberFormat="1" applyFont="1">
      <alignment vertical="center"/>
    </xf>
    <xf numFmtId="183" fontId="59" fillId="0" borderId="53" xfId="0" applyNumberFormat="1" applyFont="1" applyBorder="1">
      <alignment vertical="center"/>
    </xf>
    <xf numFmtId="41" fontId="59" fillId="0" borderId="42" xfId="0" applyNumberFormat="1" applyFont="1" applyBorder="1">
      <alignment vertical="center"/>
    </xf>
    <xf numFmtId="183" fontId="59" fillId="0" borderId="42" xfId="0" applyNumberFormat="1" applyFont="1" applyBorder="1">
      <alignment vertical="center"/>
    </xf>
    <xf numFmtId="0" fontId="59" fillId="0" borderId="49" xfId="0" applyFont="1" applyBorder="1" applyAlignment="1">
      <alignment horizontal="center" vertical="center"/>
    </xf>
    <xf numFmtId="41" fontId="59" fillId="0" borderId="44" xfId="0" applyNumberFormat="1" applyFont="1" applyBorder="1">
      <alignment vertical="center"/>
    </xf>
    <xf numFmtId="41" fontId="59" fillId="0" borderId="45" xfId="0" applyNumberFormat="1" applyFont="1" applyBorder="1">
      <alignment vertical="center"/>
    </xf>
    <xf numFmtId="183" fontId="59" fillId="0" borderId="44" xfId="0" applyNumberFormat="1" applyFont="1" applyBorder="1">
      <alignment vertical="center"/>
    </xf>
    <xf numFmtId="183" fontId="59" fillId="0" borderId="45" xfId="0" applyNumberFormat="1" applyFont="1" applyBorder="1">
      <alignment vertical="center"/>
    </xf>
    <xf numFmtId="186" fontId="59" fillId="0" borderId="82" xfId="0" applyNumberFormat="1" applyFont="1" applyBorder="1" applyAlignment="1">
      <alignment horizontal="center" vertical="center"/>
    </xf>
    <xf numFmtId="208" fontId="59" fillId="0" borderId="32" xfId="0" applyNumberFormat="1" applyFont="1" applyBorder="1" applyAlignment="1">
      <alignment horizontal="right" vertical="center"/>
    </xf>
    <xf numFmtId="0" fontId="69" fillId="0" borderId="29" xfId="0" applyFont="1" applyBorder="1" applyAlignment="1">
      <alignment horizontal="right" vertical="center"/>
    </xf>
    <xf numFmtId="208" fontId="59" fillId="0" borderId="10" xfId="0" applyNumberFormat="1" applyFont="1" applyBorder="1" applyAlignment="1">
      <alignment horizontal="right" vertical="center"/>
    </xf>
    <xf numFmtId="208" fontId="59" fillId="0" borderId="16" xfId="0" applyNumberFormat="1" applyFont="1" applyBorder="1" applyAlignment="1">
      <alignment horizontal="right" vertical="center"/>
    </xf>
    <xf numFmtId="0" fontId="69" fillId="0" borderId="48" xfId="0" applyFont="1" applyBorder="1">
      <alignment vertical="center"/>
    </xf>
    <xf numFmtId="200" fontId="59" fillId="0" borderId="10" xfId="0" applyNumberFormat="1" applyFont="1" applyBorder="1" applyAlignment="1">
      <alignment horizontal="right" vertical="center"/>
    </xf>
    <xf numFmtId="200" fontId="59" fillId="0" borderId="16" xfId="0" applyNumberFormat="1" applyFont="1" applyBorder="1" applyAlignment="1">
      <alignment horizontal="right" vertical="center"/>
    </xf>
    <xf numFmtId="208" fontId="59" fillId="0" borderId="10" xfId="33" applyNumberFormat="1" applyFont="1" applyFill="1" applyBorder="1" applyAlignment="1">
      <alignment horizontal="right" vertical="center"/>
    </xf>
    <xf numFmtId="208" fontId="59" fillId="0" borderId="16" xfId="33" applyNumberFormat="1" applyFont="1" applyFill="1" applyBorder="1" applyAlignment="1">
      <alignment horizontal="right" vertical="center"/>
    </xf>
    <xf numFmtId="199" fontId="59" fillId="0" borderId="18" xfId="33" applyNumberFormat="1" applyFont="1" applyFill="1" applyBorder="1" applyAlignment="1">
      <alignment horizontal="right" vertical="center"/>
    </xf>
    <xf numFmtId="0" fontId="80" fillId="0" borderId="0" xfId="0" applyFont="1">
      <alignment vertical="center"/>
    </xf>
    <xf numFmtId="186" fontId="80" fillId="0" borderId="0" xfId="0" applyNumberFormat="1" applyFont="1">
      <alignment vertical="center"/>
    </xf>
    <xf numFmtId="186" fontId="59" fillId="0" borderId="0" xfId="0" applyNumberFormat="1" applyFont="1">
      <alignment vertical="center"/>
    </xf>
    <xf numFmtId="0" fontId="64" fillId="0" borderId="0" xfId="0" applyFont="1" applyAlignment="1">
      <alignment horizontal="center" vertical="center"/>
    </xf>
    <xf numFmtId="0" fontId="68" fillId="0" borderId="43" xfId="0" applyFont="1" applyBorder="1" applyAlignment="1">
      <alignment horizontal="right" vertical="center"/>
    </xf>
    <xf numFmtId="0" fontId="71" fillId="0" borderId="44" xfId="0" applyFont="1" applyBorder="1">
      <alignment vertical="center"/>
    </xf>
    <xf numFmtId="0" fontId="71" fillId="0" borderId="45" xfId="0" applyFont="1" applyBorder="1">
      <alignment vertical="center"/>
    </xf>
    <xf numFmtId="0" fontId="71" fillId="0" borderId="0" xfId="0" applyFont="1">
      <alignment vertical="center"/>
    </xf>
    <xf numFmtId="0" fontId="71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wrapText="1"/>
    </xf>
    <xf numFmtId="0" fontId="69" fillId="0" borderId="13" xfId="0" applyFont="1" applyBorder="1" applyAlignment="1">
      <alignment horizontal="center" vertical="center"/>
    </xf>
    <xf numFmtId="0" fontId="69" fillId="0" borderId="34" xfId="0" applyFont="1" applyBorder="1" applyAlignment="1">
      <alignment horizontal="center" vertical="center"/>
    </xf>
    <xf numFmtId="0" fontId="80" fillId="27" borderId="0" xfId="0" applyFont="1" applyFill="1" applyAlignment="1">
      <alignment horizontal="center" vertical="center"/>
    </xf>
    <xf numFmtId="0" fontId="59" fillId="0" borderId="93" xfId="0" applyFont="1" applyBorder="1" applyAlignment="1">
      <alignment horizontal="center" vertical="center"/>
    </xf>
    <xf numFmtId="184" fontId="59" fillId="29" borderId="94" xfId="0" applyNumberFormat="1" applyFont="1" applyFill="1" applyBorder="1" applyAlignment="1">
      <alignment horizontal="center"/>
    </xf>
    <xf numFmtId="184" fontId="59" fillId="29" borderId="95" xfId="0" applyNumberFormat="1" applyFont="1" applyFill="1" applyBorder="1" applyAlignment="1">
      <alignment horizontal="center"/>
    </xf>
    <xf numFmtId="184" fontId="59" fillId="0" borderId="96" xfId="0" applyNumberFormat="1" applyFont="1" applyBorder="1" applyAlignment="1">
      <alignment horizontal="center"/>
    </xf>
    <xf numFmtId="184" fontId="59" fillId="0" borderId="97" xfId="0" applyNumberFormat="1" applyFont="1" applyBorder="1" applyAlignment="1">
      <alignment horizontal="center"/>
    </xf>
    <xf numFmtId="189" fontId="59" fillId="0" borderId="98" xfId="0" applyNumberFormat="1" applyFont="1" applyBorder="1" applyAlignment="1">
      <alignment horizontal="center"/>
    </xf>
    <xf numFmtId="189" fontId="59" fillId="0" borderId="0" xfId="0" applyNumberFormat="1" applyFont="1" applyAlignment="1">
      <alignment horizontal="center"/>
    </xf>
    <xf numFmtId="176" fontId="80" fillId="0" borderId="0" xfId="0" applyNumberFormat="1" applyFont="1" applyAlignment="1">
      <alignment horizontal="right" vertical="center"/>
    </xf>
    <xf numFmtId="0" fontId="59" fillId="0" borderId="99" xfId="0" applyFont="1" applyBorder="1" applyAlignment="1">
      <alignment horizontal="center" vertical="center"/>
    </xf>
    <xf numFmtId="184" fontId="59" fillId="25" borderId="100" xfId="0" applyNumberFormat="1" applyFont="1" applyFill="1" applyBorder="1" applyAlignment="1">
      <alignment horizontal="center"/>
    </xf>
    <xf numFmtId="184" fontId="59" fillId="25" borderId="101" xfId="0" applyNumberFormat="1" applyFont="1" applyFill="1" applyBorder="1" applyAlignment="1">
      <alignment horizontal="center"/>
    </xf>
    <xf numFmtId="184" fontId="59" fillId="0" borderId="101" xfId="0" applyNumberFormat="1" applyFont="1" applyBorder="1" applyAlignment="1">
      <alignment horizontal="center"/>
    </xf>
    <xf numFmtId="184" fontId="59" fillId="0" borderId="118" xfId="0" applyNumberFormat="1" applyFont="1" applyBorder="1" applyAlignment="1">
      <alignment horizontal="center"/>
    </xf>
    <xf numFmtId="184" fontId="59" fillId="0" borderId="102" xfId="0" applyNumberFormat="1" applyFont="1" applyBorder="1" applyAlignment="1">
      <alignment horizontal="center"/>
    </xf>
    <xf numFmtId="189" fontId="59" fillId="0" borderId="103" xfId="0" applyNumberFormat="1" applyFont="1" applyBorder="1" applyAlignment="1">
      <alignment horizontal="center"/>
    </xf>
    <xf numFmtId="184" fontId="59" fillId="0" borderId="52" xfId="0" applyNumberFormat="1" applyFont="1" applyBorder="1" applyAlignment="1">
      <alignment horizontal="center"/>
    </xf>
    <xf numFmtId="184" fontId="59" fillId="0" borderId="52" xfId="0" applyNumberFormat="1" applyFont="1" applyBorder="1" applyAlignment="1">
      <alignment horizontal="center" vertical="center"/>
    </xf>
    <xf numFmtId="184" fontId="59" fillId="0" borderId="96" xfId="0" applyNumberFormat="1" applyFont="1" applyBorder="1" applyAlignment="1">
      <alignment horizontal="center" vertical="center"/>
    </xf>
    <xf numFmtId="184" fontId="59" fillId="0" borderId="104" xfId="0" applyNumberFormat="1" applyFont="1" applyBorder="1" applyAlignment="1">
      <alignment horizontal="center"/>
    </xf>
    <xf numFmtId="0" fontId="59" fillId="0" borderId="105" xfId="0" applyFont="1" applyBorder="1" applyAlignment="1">
      <alignment horizontal="center" vertical="center"/>
    </xf>
    <xf numFmtId="184" fontId="59" fillId="29" borderId="106" xfId="0" applyNumberFormat="1" applyFont="1" applyFill="1" applyBorder="1" applyAlignment="1">
      <alignment horizontal="center"/>
    </xf>
    <xf numFmtId="184" fontId="59" fillId="29" borderId="107" xfId="0" applyNumberFormat="1" applyFont="1" applyFill="1" applyBorder="1" applyAlignment="1">
      <alignment horizontal="center"/>
    </xf>
    <xf numFmtId="184" fontId="59" fillId="0" borderId="107" xfId="0" applyNumberFormat="1" applyFont="1" applyBorder="1" applyAlignment="1">
      <alignment horizontal="center"/>
    </xf>
    <xf numFmtId="184" fontId="59" fillId="0" borderId="108" xfId="0" applyNumberFormat="1" applyFont="1" applyBorder="1" applyAlignment="1">
      <alignment horizontal="center"/>
    </xf>
    <xf numFmtId="189" fontId="59" fillId="0" borderId="109" xfId="0" applyNumberFormat="1" applyFont="1" applyBorder="1" applyAlignment="1">
      <alignment horizontal="center"/>
    </xf>
    <xf numFmtId="189" fontId="84" fillId="0" borderId="0" xfId="0" applyNumberFormat="1" applyFont="1" applyAlignment="1">
      <alignment horizontal="center"/>
    </xf>
    <xf numFmtId="184" fontId="59" fillId="0" borderId="100" xfId="0" applyNumberFormat="1" applyFont="1" applyBorder="1" applyAlignment="1">
      <alignment horizontal="center"/>
    </xf>
    <xf numFmtId="184" fontId="59" fillId="0" borderId="106" xfId="0" applyNumberFormat="1" applyFont="1" applyBorder="1" applyAlignment="1">
      <alignment horizontal="center"/>
    </xf>
    <xf numFmtId="176" fontId="85" fillId="28" borderId="0" xfId="0" applyNumberFormat="1" applyFont="1" applyFill="1">
      <alignment vertical="center"/>
    </xf>
    <xf numFmtId="176" fontId="80" fillId="0" borderId="0" xfId="0" applyNumberFormat="1" applyFont="1">
      <alignment vertical="center"/>
    </xf>
    <xf numFmtId="184" fontId="59" fillId="0" borderId="52" xfId="0" applyNumberFormat="1" applyFont="1" applyBorder="1">
      <alignment vertical="center"/>
    </xf>
    <xf numFmtId="0" fontId="59" fillId="0" borderId="112" xfId="0" applyFont="1" applyBorder="1" applyAlignment="1">
      <alignment horizontal="center" vertical="center"/>
    </xf>
    <xf numFmtId="184" fontId="59" fillId="0" borderId="113" xfId="0" applyNumberFormat="1" applyFont="1" applyBorder="1">
      <alignment vertical="center"/>
    </xf>
    <xf numFmtId="184" fontId="59" fillId="0" borderId="114" xfId="0" applyNumberFormat="1" applyFont="1" applyBorder="1" applyAlignment="1">
      <alignment horizontal="center"/>
    </xf>
    <xf numFmtId="184" fontId="59" fillId="0" borderId="115" xfId="0" applyNumberFormat="1" applyFont="1" applyBorder="1" applyAlignment="1">
      <alignment horizontal="center"/>
    </xf>
    <xf numFmtId="189" fontId="59" fillId="0" borderId="110" xfId="0" applyNumberFormat="1" applyFont="1" applyBorder="1" applyAlignment="1">
      <alignment horizontal="center"/>
    </xf>
    <xf numFmtId="0" fontId="86" fillId="0" borderId="0" xfId="0" applyFont="1" applyAlignment="1">
      <alignment horizontal="center" vertical="center" wrapText="1"/>
    </xf>
    <xf numFmtId="0" fontId="69" fillId="0" borderId="0" xfId="0" applyFont="1">
      <alignment vertical="center"/>
    </xf>
    <xf numFmtId="0" fontId="69" fillId="27" borderId="10" xfId="0" applyFont="1" applyFill="1" applyBorder="1" applyAlignment="1">
      <alignment horizontal="center" vertical="center"/>
    </xf>
    <xf numFmtId="0" fontId="80" fillId="27" borderId="10" xfId="0" applyFont="1" applyFill="1" applyBorder="1" applyAlignment="1">
      <alignment horizontal="center" vertical="center"/>
    </xf>
    <xf numFmtId="0" fontId="59" fillId="0" borderId="0" xfId="0" applyFont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shrinkToFit="1"/>
    </xf>
    <xf numFmtId="209" fontId="59" fillId="0" borderId="10" xfId="0" applyNumberFormat="1" applyFont="1" applyBorder="1">
      <alignment vertical="center"/>
    </xf>
    <xf numFmtId="203" fontId="59" fillId="0" borderId="10" xfId="0" applyNumberFormat="1" applyFont="1" applyBorder="1" applyAlignment="1">
      <alignment horizontal="center" vertical="center"/>
    </xf>
    <xf numFmtId="198" fontId="80" fillId="0" borderId="10" xfId="0" applyNumberFormat="1" applyFont="1" applyBorder="1" applyAlignment="1">
      <alignment vertical="center" shrinkToFit="1"/>
    </xf>
    <xf numFmtId="0" fontId="69" fillId="27" borderId="0" xfId="0" applyFont="1" applyFill="1" applyAlignment="1">
      <alignment horizontal="center" vertical="center"/>
    </xf>
    <xf numFmtId="0" fontId="59" fillId="0" borderId="37" xfId="0" applyFont="1" applyBorder="1">
      <alignment vertical="center"/>
    </xf>
    <xf numFmtId="0" fontId="59" fillId="27" borderId="0" xfId="0" applyFont="1" applyFill="1">
      <alignment vertical="center"/>
    </xf>
    <xf numFmtId="9" fontId="59" fillId="0" borderId="0" xfId="0" applyNumberFormat="1" applyFont="1">
      <alignment vertical="center"/>
    </xf>
    <xf numFmtId="183" fontId="59" fillId="0" borderId="103" xfId="29" applyNumberFormat="1" applyFont="1" applyBorder="1" applyAlignment="1">
      <alignment horizontal="center"/>
    </xf>
    <xf numFmtId="183" fontId="80" fillId="0" borderId="0" xfId="29" applyNumberFormat="1" applyFont="1" applyBorder="1" applyAlignment="1">
      <alignment horizontal="center"/>
    </xf>
    <xf numFmtId="0" fontId="59" fillId="27" borderId="10" xfId="0" applyFont="1" applyFill="1" applyBorder="1" applyAlignment="1">
      <alignment horizontal="center" vertical="center"/>
    </xf>
    <xf numFmtId="198" fontId="80" fillId="0" borderId="10" xfId="0" applyNumberFormat="1" applyFont="1" applyBorder="1">
      <alignment vertical="center"/>
    </xf>
    <xf numFmtId="9" fontId="59" fillId="0" borderId="110" xfId="29" applyFont="1" applyBorder="1" applyAlignment="1">
      <alignment horizontal="center"/>
    </xf>
    <xf numFmtId="9" fontId="80" fillId="0" borderId="0" xfId="29" applyFont="1" applyBorder="1" applyAlignment="1">
      <alignment horizontal="center"/>
    </xf>
    <xf numFmtId="189" fontId="80" fillId="0" borderId="0" xfId="0" applyNumberFormat="1" applyFont="1">
      <alignment vertical="center"/>
    </xf>
    <xf numFmtId="189" fontId="67" fillId="0" borderId="0" xfId="0" applyNumberFormat="1" applyFont="1">
      <alignment vertical="center"/>
    </xf>
    <xf numFmtId="9" fontId="59" fillId="0" borderId="0" xfId="29" applyFont="1" applyBorder="1" applyAlignment="1">
      <alignment horizontal="center"/>
    </xf>
    <xf numFmtId="0" fontId="68" fillId="0" borderId="28" xfId="0" applyFont="1" applyBorder="1" applyAlignment="1">
      <alignment horizontal="center" vertical="center" wrapText="1"/>
    </xf>
    <xf numFmtId="0" fontId="68" fillId="0" borderId="29" xfId="0" applyFont="1" applyBorder="1" applyAlignment="1">
      <alignment horizontal="center" vertical="center" wrapText="1"/>
    </xf>
    <xf numFmtId="0" fontId="68" fillId="0" borderId="30" xfId="0" applyFont="1" applyBorder="1" applyAlignment="1">
      <alignment horizontal="center" vertical="center" wrapText="1"/>
    </xf>
    <xf numFmtId="0" fontId="88" fillId="30" borderId="158" xfId="0" applyFont="1" applyFill="1" applyBorder="1" applyAlignment="1">
      <alignment horizontal="center" vertical="center"/>
    </xf>
    <xf numFmtId="0" fontId="88" fillId="31" borderId="158" xfId="0" applyFont="1" applyFill="1" applyBorder="1" applyAlignment="1">
      <alignment horizontal="distributed" vertical="center" indent="1"/>
    </xf>
    <xf numFmtId="183" fontId="88" fillId="31" borderId="158" xfId="29" applyNumberFormat="1" applyFont="1" applyFill="1" applyBorder="1" applyAlignment="1">
      <alignment horizontal="center" vertical="center"/>
    </xf>
    <xf numFmtId="0" fontId="88" fillId="31" borderId="158" xfId="0" applyFont="1" applyFill="1" applyBorder="1" applyAlignment="1">
      <alignment horizontal="center" vertical="center"/>
    </xf>
    <xf numFmtId="0" fontId="88" fillId="31" borderId="159" xfId="0" applyFont="1" applyFill="1" applyBorder="1" applyAlignment="1">
      <alignment horizontal="center" vertical="center"/>
    </xf>
    <xf numFmtId="178" fontId="88" fillId="30" borderId="158" xfId="0" applyNumberFormat="1" applyFont="1" applyFill="1" applyBorder="1" applyAlignment="1">
      <alignment horizontal="center" vertical="center"/>
    </xf>
    <xf numFmtId="176" fontId="88" fillId="30" borderId="158" xfId="0" applyNumberFormat="1" applyFont="1" applyFill="1" applyBorder="1" applyAlignment="1">
      <alignment horizontal="center" vertical="center"/>
    </xf>
    <xf numFmtId="176" fontId="88" fillId="30" borderId="159" xfId="0" applyNumberFormat="1" applyFont="1" applyFill="1" applyBorder="1" applyAlignment="1">
      <alignment horizontal="center" vertical="center"/>
    </xf>
    <xf numFmtId="176" fontId="88" fillId="30" borderId="160" xfId="0" applyNumberFormat="1" applyFont="1" applyFill="1" applyBorder="1" applyAlignment="1">
      <alignment horizontal="center" vertical="center"/>
    </xf>
    <xf numFmtId="176" fontId="88" fillId="30" borderId="163" xfId="0" applyNumberFormat="1" applyFont="1" applyFill="1" applyBorder="1" applyAlignment="1">
      <alignment horizontal="center" vertical="center"/>
    </xf>
    <xf numFmtId="178" fontId="88" fillId="30" borderId="159" xfId="0" applyNumberFormat="1" applyFont="1" applyFill="1" applyBorder="1" applyAlignment="1">
      <alignment horizontal="center" vertical="center"/>
    </xf>
    <xf numFmtId="0" fontId="88" fillId="31" borderId="164" xfId="0" applyFont="1" applyFill="1" applyBorder="1" applyAlignment="1">
      <alignment horizontal="center" vertical="center"/>
    </xf>
    <xf numFmtId="0" fontId="88" fillId="30" borderId="163" xfId="0" applyFont="1" applyFill="1" applyBorder="1" applyAlignment="1">
      <alignment horizontal="center" vertical="center"/>
    </xf>
    <xf numFmtId="0" fontId="88" fillId="31" borderId="10" xfId="0" applyFont="1" applyFill="1" applyBorder="1" applyAlignment="1">
      <alignment horizontal="center" vertical="center"/>
    </xf>
    <xf numFmtId="0" fontId="88" fillId="30" borderId="10" xfId="0" applyFont="1" applyFill="1" applyBorder="1" applyAlignment="1">
      <alignment horizontal="center" vertical="center"/>
    </xf>
    <xf numFmtId="208" fontId="59" fillId="0" borderId="0" xfId="0" applyNumberFormat="1" applyFont="1">
      <alignment vertical="center"/>
    </xf>
    <xf numFmtId="0" fontId="90" fillId="0" borderId="0" xfId="0" applyFont="1">
      <alignment vertical="center"/>
    </xf>
    <xf numFmtId="202" fontId="67" fillId="0" borderId="0" xfId="0" applyNumberFormat="1" applyFont="1">
      <alignment vertical="center"/>
    </xf>
    <xf numFmtId="190" fontId="67" fillId="0" borderId="0" xfId="0" applyNumberFormat="1" applyFont="1">
      <alignment vertical="center"/>
    </xf>
    <xf numFmtId="0" fontId="91" fillId="0" borderId="29" xfId="0" applyFont="1" applyBorder="1" applyAlignment="1">
      <alignment horizontal="distributed" vertical="center" indent="1"/>
    </xf>
    <xf numFmtId="0" fontId="61" fillId="24" borderId="66" xfId="0" applyFont="1" applyFill="1" applyBorder="1" applyAlignment="1">
      <alignment horizontal="center" vertical="center"/>
    </xf>
    <xf numFmtId="0" fontId="61" fillId="24" borderId="68" xfId="0" applyFont="1" applyFill="1" applyBorder="1" applyAlignment="1">
      <alignment horizontal="center" vertical="center"/>
    </xf>
    <xf numFmtId="0" fontId="93" fillId="24" borderId="66" xfId="0" applyFont="1" applyFill="1" applyBorder="1" applyAlignment="1">
      <alignment horizontal="center" vertical="center"/>
    </xf>
    <xf numFmtId="0" fontId="92" fillId="0" borderId="0" xfId="0" applyFont="1">
      <alignment vertical="center"/>
    </xf>
    <xf numFmtId="0" fontId="93" fillId="0" borderId="0" xfId="0" applyFont="1">
      <alignment vertical="center"/>
    </xf>
    <xf numFmtId="0" fontId="93" fillId="0" borderId="42" xfId="0" applyFont="1" applyBorder="1" applyAlignment="1">
      <alignment horizontal="right" vertical="center"/>
    </xf>
    <xf numFmtId="0" fontId="95" fillId="0" borderId="44" xfId="0" applyFont="1" applyBorder="1">
      <alignment vertical="center"/>
    </xf>
    <xf numFmtId="0" fontId="59" fillId="32" borderId="111" xfId="0" applyFont="1" applyFill="1" applyBorder="1">
      <alignment vertical="center"/>
    </xf>
    <xf numFmtId="183" fontId="61" fillId="32" borderId="103" xfId="29" applyNumberFormat="1" applyFont="1" applyFill="1" applyBorder="1" applyAlignment="1">
      <alignment horizontal="center"/>
    </xf>
    <xf numFmtId="0" fontId="64" fillId="0" borderId="78" xfId="0" applyFont="1" applyBorder="1" applyAlignment="1">
      <alignment horizontal="center" vertical="center"/>
    </xf>
    <xf numFmtId="0" fontId="64" fillId="0" borderId="21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92" fillId="0" borderId="44" xfId="0" applyFont="1" applyBorder="1" applyAlignment="1">
      <alignment horizontal="left" vertical="center"/>
    </xf>
    <xf numFmtId="0" fontId="92" fillId="0" borderId="45" xfId="0" applyFont="1" applyBorder="1" applyAlignment="1">
      <alignment horizontal="left" vertical="center"/>
    </xf>
    <xf numFmtId="0" fontId="59" fillId="0" borderId="119" xfId="0" applyFont="1" applyBorder="1" applyAlignment="1">
      <alignment horizontal="left" vertical="center" wrapText="1"/>
    </xf>
    <xf numFmtId="0" fontId="59" fillId="0" borderId="120" xfId="0" applyFont="1" applyBorder="1" applyAlignment="1">
      <alignment horizontal="left" vertical="center" wrapText="1"/>
    </xf>
    <xf numFmtId="0" fontId="67" fillId="0" borderId="32" xfId="0" applyFont="1" applyBorder="1" applyAlignment="1">
      <alignment horizontal="left" vertical="center" wrapText="1"/>
    </xf>
    <xf numFmtId="0" fontId="67" fillId="0" borderId="57" xfId="0" applyFont="1" applyBorder="1" applyAlignment="1">
      <alignment horizontal="left" vertical="center" wrapText="1"/>
    </xf>
    <xf numFmtId="0" fontId="59" fillId="0" borderId="77" xfId="0" applyFont="1" applyBorder="1" applyAlignment="1">
      <alignment horizontal="left" vertical="center" wrapText="1"/>
    </xf>
    <xf numFmtId="0" fontId="59" fillId="0" borderId="46" xfId="0" applyFont="1" applyBorder="1" applyAlignment="1">
      <alignment horizontal="left" vertical="center" wrapText="1"/>
    </xf>
    <xf numFmtId="0" fontId="68" fillId="0" borderId="121" xfId="0" applyFont="1" applyBorder="1" applyAlignment="1">
      <alignment horizontal="center"/>
    </xf>
    <xf numFmtId="0" fontId="68" fillId="0" borderId="27" xfId="0" applyFont="1" applyBorder="1" applyAlignment="1">
      <alignment horizontal="center"/>
    </xf>
    <xf numFmtId="0" fontId="67" fillId="0" borderId="77" xfId="0" applyFont="1" applyBorder="1" applyAlignment="1">
      <alignment horizontal="left" vertical="center" wrapText="1"/>
    </xf>
    <xf numFmtId="0" fontId="67" fillId="0" borderId="46" xfId="0" applyFont="1" applyBorder="1" applyAlignment="1">
      <alignment horizontal="left" vertical="center" wrapText="1"/>
    </xf>
    <xf numFmtId="0" fontId="67" fillId="0" borderId="16" xfId="0" applyFont="1" applyBorder="1" applyAlignment="1">
      <alignment horizontal="left" vertical="center" wrapText="1"/>
    </xf>
    <xf numFmtId="0" fontId="59" fillId="0" borderId="16" xfId="0" applyFont="1" applyBorder="1" applyAlignment="1">
      <alignment horizontal="left" vertical="center" wrapText="1"/>
    </xf>
    <xf numFmtId="0" fontId="67" fillId="0" borderId="18" xfId="0" applyFont="1" applyBorder="1" applyAlignment="1">
      <alignment horizontal="left" vertical="center" wrapText="1"/>
    </xf>
    <xf numFmtId="0" fontId="67" fillId="0" borderId="120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8" fillId="0" borderId="78" xfId="0" applyFont="1" applyBorder="1" applyAlignment="1">
      <alignment horizontal="center" vertical="center"/>
    </xf>
    <xf numFmtId="0" fontId="8" fillId="0" borderId="79" xfId="0" applyFont="1" applyBorder="1" applyAlignment="1">
      <alignment horizontal="center" vertical="center"/>
    </xf>
    <xf numFmtId="0" fontId="59" fillId="0" borderId="84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59" fillId="0" borderId="42" xfId="0" applyFont="1" applyBorder="1" applyAlignment="1">
      <alignment horizontal="center" vertical="center" wrapText="1"/>
    </xf>
    <xf numFmtId="0" fontId="68" fillId="0" borderId="29" xfId="0" applyFont="1" applyBorder="1" applyAlignment="1">
      <alignment horizontal="center" vertical="center"/>
    </xf>
    <xf numFmtId="0" fontId="68" fillId="0" borderId="48" xfId="0" applyFont="1" applyBorder="1" applyAlignment="1">
      <alignment horizontal="center" vertical="center"/>
    </xf>
    <xf numFmtId="0" fontId="68" fillId="0" borderId="46" xfId="0" applyFont="1" applyBorder="1" applyAlignment="1">
      <alignment horizontal="center" vertical="center"/>
    </xf>
    <xf numFmtId="0" fontId="59" fillId="0" borderId="83" xfId="0" applyFont="1" applyBorder="1" applyAlignment="1">
      <alignment horizontal="center" vertical="center" wrapText="1"/>
    </xf>
    <xf numFmtId="0" fontId="59" fillId="0" borderId="39" xfId="0" applyFont="1" applyBorder="1" applyAlignment="1">
      <alignment horizontal="center" vertical="center" wrapText="1"/>
    </xf>
    <xf numFmtId="0" fontId="59" fillId="0" borderId="40" xfId="0" applyFont="1" applyBorder="1" applyAlignment="1">
      <alignment horizontal="center" vertical="center" wrapText="1"/>
    </xf>
    <xf numFmtId="0" fontId="66" fillId="0" borderId="28" xfId="0" applyFont="1" applyBorder="1" applyAlignment="1">
      <alignment horizontal="right" vertical="center"/>
    </xf>
    <xf numFmtId="0" fontId="66" fillId="0" borderId="56" xfId="0" applyFont="1" applyBorder="1" applyAlignment="1">
      <alignment horizontal="right" vertical="center"/>
    </xf>
    <xf numFmtId="0" fontId="66" fillId="0" borderId="56" xfId="0" applyFont="1" applyBorder="1" applyAlignment="1">
      <alignment horizontal="left" vertical="center"/>
    </xf>
    <xf numFmtId="0" fontId="59" fillId="0" borderId="80" xfId="0" applyFont="1" applyBorder="1" applyAlignment="1">
      <alignment horizontal="center" vertical="center" wrapText="1"/>
    </xf>
    <xf numFmtId="0" fontId="59" fillId="0" borderId="56" xfId="0" applyFont="1" applyBorder="1" applyAlignment="1">
      <alignment horizontal="center" vertical="center" wrapText="1"/>
    </xf>
    <xf numFmtId="0" fontId="59" fillId="0" borderId="57" xfId="0" applyFont="1" applyBorder="1" applyAlignment="1">
      <alignment horizontal="center" vertical="center" wrapText="1"/>
    </xf>
    <xf numFmtId="0" fontId="69" fillId="0" borderId="29" xfId="0" applyFont="1" applyBorder="1" applyAlignment="1">
      <alignment horizontal="center" vertical="center"/>
    </xf>
    <xf numFmtId="0" fontId="69" fillId="0" borderId="48" xfId="0" applyFont="1" applyBorder="1" applyAlignment="1">
      <alignment horizontal="center" vertical="center"/>
    </xf>
    <xf numFmtId="0" fontId="69" fillId="0" borderId="46" xfId="0" applyFont="1" applyBorder="1" applyAlignment="1">
      <alignment horizontal="center" vertical="center"/>
    </xf>
    <xf numFmtId="0" fontId="71" fillId="27" borderId="84" xfId="0" applyFont="1" applyFill="1" applyBorder="1" applyAlignment="1">
      <alignment horizontal="center" vertical="center" wrapText="1"/>
    </xf>
    <xf numFmtId="0" fontId="71" fillId="27" borderId="0" xfId="0" applyFont="1" applyFill="1" applyAlignment="1">
      <alignment horizontal="center" vertical="center" wrapText="1"/>
    </xf>
    <xf numFmtId="0" fontId="71" fillId="27" borderId="42" xfId="0" applyFont="1" applyFill="1" applyBorder="1" applyAlignment="1">
      <alignment horizontal="center" vertical="center" wrapText="1"/>
    </xf>
    <xf numFmtId="0" fontId="10" fillId="0" borderId="8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80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20" fillId="27" borderId="84" xfId="0" applyFont="1" applyFill="1" applyBorder="1" applyAlignment="1">
      <alignment horizontal="center" vertical="center" wrapText="1"/>
    </xf>
    <xf numFmtId="0" fontId="20" fillId="27" borderId="0" xfId="0" applyFont="1" applyFill="1" applyAlignment="1">
      <alignment horizontal="center" vertical="center" wrapText="1"/>
    </xf>
    <xf numFmtId="0" fontId="20" fillId="27" borderId="42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9" fillId="0" borderId="28" xfId="0" applyFont="1" applyBorder="1" applyAlignment="1">
      <alignment horizontal="right" vertical="center"/>
    </xf>
    <xf numFmtId="0" fontId="9" fillId="0" borderId="56" xfId="0" applyFont="1" applyBorder="1" applyAlignment="1">
      <alignment horizontal="right" vertical="center"/>
    </xf>
    <xf numFmtId="0" fontId="46" fillId="0" borderId="56" xfId="0" applyFont="1" applyBorder="1" applyAlignment="1">
      <alignment horizontal="left" vertical="center"/>
    </xf>
    <xf numFmtId="0" fontId="15" fillId="0" borderId="29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116" xfId="0" applyFont="1" applyBorder="1" applyAlignment="1">
      <alignment horizontal="center" vertical="center" wrapText="1"/>
    </xf>
    <xf numFmtId="0" fontId="10" fillId="0" borderId="117" xfId="0" applyFont="1" applyBorder="1" applyAlignment="1">
      <alignment horizontal="center" vertical="center" wrapText="1"/>
    </xf>
    <xf numFmtId="0" fontId="20" fillId="27" borderId="117" xfId="0" applyFont="1" applyFill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92" fillId="0" borderId="56" xfId="0" applyFont="1" applyBorder="1" applyAlignment="1">
      <alignment horizontal="left" vertical="center"/>
    </xf>
    <xf numFmtId="0" fontId="10" fillId="24" borderId="122" xfId="0" applyFont="1" applyFill="1" applyBorder="1" applyAlignment="1">
      <alignment horizontal="center" vertical="center"/>
    </xf>
    <xf numFmtId="0" fontId="10" fillId="24" borderId="48" xfId="0" applyFont="1" applyFill="1" applyBorder="1" applyAlignment="1">
      <alignment horizontal="center" vertical="center"/>
    </xf>
    <xf numFmtId="0" fontId="10" fillId="24" borderId="33" xfId="0" applyFont="1" applyFill="1" applyBorder="1" applyAlignment="1">
      <alignment horizontal="center" vertical="center"/>
    </xf>
    <xf numFmtId="0" fontId="10" fillId="24" borderId="77" xfId="0" applyFont="1" applyFill="1" applyBorder="1" applyAlignment="1">
      <alignment horizontal="center" vertical="center"/>
    </xf>
    <xf numFmtId="0" fontId="10" fillId="24" borderId="59" xfId="0" applyFont="1" applyFill="1" applyBorder="1" applyAlignment="1">
      <alignment horizontal="center" vertical="center"/>
    </xf>
    <xf numFmtId="0" fontId="10" fillId="24" borderId="123" xfId="0" applyFont="1" applyFill="1" applyBorder="1" applyAlignment="1">
      <alignment horizontal="center" vertical="center"/>
    </xf>
    <xf numFmtId="0" fontId="10" fillId="24" borderId="124" xfId="0" applyFont="1" applyFill="1" applyBorder="1" applyAlignment="1">
      <alignment horizontal="center" vertical="center"/>
    </xf>
    <xf numFmtId="0" fontId="10" fillId="24" borderId="125" xfId="0" applyFont="1" applyFill="1" applyBorder="1" applyAlignment="1">
      <alignment horizontal="center" vertical="center"/>
    </xf>
    <xf numFmtId="0" fontId="10" fillId="24" borderId="60" xfId="0" applyFont="1" applyFill="1" applyBorder="1" applyAlignment="1">
      <alignment horizontal="center" vertical="center"/>
    </xf>
    <xf numFmtId="0" fontId="10" fillId="24" borderId="62" xfId="0" applyFont="1" applyFill="1" applyBorder="1" applyAlignment="1">
      <alignment horizontal="center" vertical="center"/>
    </xf>
    <xf numFmtId="0" fontId="10" fillId="24" borderId="69" xfId="0" applyFont="1" applyFill="1" applyBorder="1" applyAlignment="1">
      <alignment horizontal="center" vertical="center" wrapText="1"/>
    </xf>
    <xf numFmtId="0" fontId="10" fillId="24" borderId="126" xfId="0" applyFont="1" applyFill="1" applyBorder="1" applyAlignment="1">
      <alignment horizontal="center" vertical="center"/>
    </xf>
    <xf numFmtId="0" fontId="92" fillId="0" borderId="57" xfId="0" applyFont="1" applyBorder="1" applyAlignment="1">
      <alignment horizontal="left" vertical="center"/>
    </xf>
    <xf numFmtId="0" fontId="46" fillId="0" borderId="57" xfId="0" applyFont="1" applyBorder="1" applyAlignment="1">
      <alignment horizontal="left" vertical="center"/>
    </xf>
    <xf numFmtId="0" fontId="51" fillId="0" borderId="44" xfId="0" applyFont="1" applyBorder="1" applyAlignment="1">
      <alignment horizontal="left" vertical="center"/>
    </xf>
    <xf numFmtId="0" fontId="93" fillId="0" borderId="36" xfId="0" applyFont="1" applyBorder="1" applyAlignment="1">
      <alignment horizontal="center" vertical="center" wrapText="1"/>
    </xf>
    <xf numFmtId="0" fontId="94" fillId="0" borderId="15" xfId="0" applyFont="1" applyBorder="1" applyAlignment="1">
      <alignment horizontal="center" vertical="center" wrapText="1"/>
    </xf>
    <xf numFmtId="0" fontId="94" fillId="0" borderId="35" xfId="0" applyFont="1" applyBorder="1" applyAlignment="1">
      <alignment horizontal="center" vertical="center" wrapText="1"/>
    </xf>
    <xf numFmtId="0" fontId="94" fillId="0" borderId="17" xfId="0" applyFont="1" applyBorder="1" applyAlignment="1">
      <alignment horizontal="center" vertical="center" wrapText="1"/>
    </xf>
    <xf numFmtId="0" fontId="93" fillId="0" borderId="15" xfId="0" applyFont="1" applyBorder="1" applyAlignment="1">
      <alignment horizontal="center" vertical="center" wrapText="1"/>
    </xf>
    <xf numFmtId="0" fontId="93" fillId="0" borderId="35" xfId="0" applyFont="1" applyBorder="1" applyAlignment="1">
      <alignment horizontal="center" vertical="center" wrapText="1"/>
    </xf>
    <xf numFmtId="0" fontId="93" fillId="0" borderId="17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distributed" vertical="center"/>
    </xf>
    <xf numFmtId="0" fontId="17" fillId="0" borderId="15" xfId="0" applyFont="1" applyBorder="1" applyAlignment="1">
      <alignment horizontal="distributed" vertical="center"/>
    </xf>
    <xf numFmtId="0" fontId="17" fillId="0" borderId="35" xfId="0" applyFont="1" applyBorder="1" applyAlignment="1">
      <alignment horizontal="distributed" vertical="center"/>
    </xf>
    <xf numFmtId="0" fontId="17" fillId="0" borderId="17" xfId="0" applyFont="1" applyBorder="1" applyAlignment="1">
      <alignment horizontal="distributed" vertical="center"/>
    </xf>
    <xf numFmtId="0" fontId="17" fillId="0" borderId="14" xfId="0" applyFont="1" applyBorder="1" applyAlignment="1">
      <alignment horizontal="distributed" vertical="center"/>
    </xf>
    <xf numFmtId="0" fontId="68" fillId="0" borderId="38" xfId="0" applyFont="1" applyBorder="1" applyAlignment="1">
      <alignment horizontal="center" vertical="center"/>
    </xf>
    <xf numFmtId="0" fontId="67" fillId="0" borderId="28" xfId="0" applyFont="1" applyBorder="1">
      <alignment vertical="center"/>
    </xf>
    <xf numFmtId="41" fontId="59" fillId="0" borderId="81" xfId="0" applyNumberFormat="1" applyFont="1" applyBorder="1">
      <alignment vertical="center"/>
    </xf>
    <xf numFmtId="0" fontId="67" fillId="0" borderId="69" xfId="0" applyFont="1" applyBorder="1" applyAlignment="1">
      <alignment horizontal="center" vertical="center"/>
    </xf>
    <xf numFmtId="0" fontId="67" fillId="0" borderId="31" xfId="0" applyFont="1" applyBorder="1" applyAlignment="1">
      <alignment horizontal="center" vertical="center"/>
    </xf>
    <xf numFmtId="0" fontId="68" fillId="0" borderId="83" xfId="0" applyFont="1" applyBorder="1" applyAlignment="1">
      <alignment horizontal="center" vertical="center" wrapText="1"/>
    </xf>
    <xf numFmtId="0" fontId="68" fillId="0" borderId="39" xfId="0" applyFont="1" applyBorder="1" applyAlignment="1">
      <alignment horizontal="center" vertical="center" wrapText="1"/>
    </xf>
    <xf numFmtId="0" fontId="68" fillId="0" borderId="116" xfId="0" applyFont="1" applyBorder="1" applyAlignment="1">
      <alignment horizontal="center" vertical="center" wrapText="1"/>
    </xf>
    <xf numFmtId="0" fontId="68" fillId="0" borderId="83" xfId="0" applyFont="1" applyBorder="1" applyAlignment="1">
      <alignment horizontal="center" vertical="center" shrinkToFit="1"/>
    </xf>
    <xf numFmtId="0" fontId="68" fillId="0" borderId="39" xfId="0" applyFont="1" applyBorder="1" applyAlignment="1">
      <alignment horizontal="center" vertical="center" shrinkToFit="1"/>
    </xf>
    <xf numFmtId="0" fontId="68" fillId="0" borderId="40" xfId="0" applyFont="1" applyBorder="1" applyAlignment="1">
      <alignment horizontal="center" vertical="center" shrinkToFit="1"/>
    </xf>
    <xf numFmtId="0" fontId="63" fillId="0" borderId="80" xfId="0" applyFont="1" applyBorder="1" applyAlignment="1">
      <alignment horizontal="center" vertical="center"/>
    </xf>
    <xf numFmtId="0" fontId="63" fillId="0" borderId="56" xfId="0" applyFont="1" applyBorder="1" applyAlignment="1">
      <alignment horizontal="center" vertical="center"/>
    </xf>
    <xf numFmtId="0" fontId="63" fillId="0" borderId="67" xfId="0" applyFont="1" applyBorder="1" applyAlignment="1">
      <alignment horizontal="center" vertical="center"/>
    </xf>
    <xf numFmtId="0" fontId="63" fillId="0" borderId="57" xfId="0" applyFont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0" fillId="0" borderId="28" xfId="0" applyBorder="1">
      <alignment vertical="center"/>
    </xf>
    <xf numFmtId="0" fontId="16" fillId="0" borderId="69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5" fillId="0" borderId="83" xfId="0" applyFont="1" applyBorder="1" applyAlignment="1">
      <alignment horizontal="center" vertical="center" shrinkToFit="1"/>
    </xf>
    <xf numFmtId="0" fontId="15" fillId="0" borderId="39" xfId="0" applyFont="1" applyBorder="1" applyAlignment="1">
      <alignment horizontal="center" vertical="center" shrinkToFit="1"/>
    </xf>
    <xf numFmtId="0" fontId="15" fillId="0" borderId="116" xfId="0" applyFont="1" applyBorder="1" applyAlignment="1">
      <alignment horizontal="center" vertical="center" shrinkToFit="1"/>
    </xf>
    <xf numFmtId="0" fontId="13" fillId="0" borderId="67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 shrinkToFit="1"/>
    </xf>
    <xf numFmtId="0" fontId="59" fillId="0" borderId="39" xfId="0" applyFont="1" applyBorder="1">
      <alignment vertical="center"/>
    </xf>
    <xf numFmtId="0" fontId="69" fillId="0" borderId="39" xfId="0" applyFont="1" applyBorder="1" applyAlignment="1">
      <alignment horizontal="left" vertical="center"/>
    </xf>
    <xf numFmtId="0" fontId="69" fillId="0" borderId="39" xfId="0" applyFont="1" applyBorder="1">
      <alignment vertical="center"/>
    </xf>
    <xf numFmtId="0" fontId="59" fillId="0" borderId="0" xfId="0" applyFont="1" applyAlignment="1">
      <alignment horizontal="left" vertical="center"/>
    </xf>
    <xf numFmtId="0" fontId="59" fillId="0" borderId="0" xfId="0" applyFont="1">
      <alignment vertical="center"/>
    </xf>
    <xf numFmtId="0" fontId="69" fillId="0" borderId="41" xfId="0" applyFont="1" applyBorder="1" applyAlignment="1">
      <alignment horizontal="right" vertical="center"/>
    </xf>
    <xf numFmtId="0" fontId="69" fillId="0" borderId="0" xfId="0" applyFont="1">
      <alignment vertical="center"/>
    </xf>
    <xf numFmtId="0" fontId="69" fillId="0" borderId="56" xfId="0" applyFont="1" applyBorder="1" applyAlignment="1">
      <alignment horizontal="right" vertical="center"/>
    </xf>
    <xf numFmtId="0" fontId="59" fillId="0" borderId="56" xfId="0" applyFont="1" applyBorder="1" applyAlignment="1">
      <alignment horizontal="right" vertical="center"/>
    </xf>
    <xf numFmtId="0" fontId="69" fillId="0" borderId="56" xfId="0" applyFont="1" applyBorder="1">
      <alignment vertical="center"/>
    </xf>
    <xf numFmtId="0" fontId="69" fillId="0" borderId="29" xfId="0" applyFont="1" applyBorder="1" applyAlignment="1">
      <alignment horizontal="right" vertical="center"/>
    </xf>
    <xf numFmtId="0" fontId="69" fillId="0" borderId="48" xfId="0" applyFont="1" applyBorder="1">
      <alignment vertical="center"/>
    </xf>
    <xf numFmtId="49" fontId="59" fillId="0" borderId="0" xfId="0" applyNumberFormat="1" applyFont="1" applyAlignment="1">
      <alignment horizontal="left" vertical="center"/>
    </xf>
    <xf numFmtId="0" fontId="67" fillId="0" borderId="0" xfId="0" applyFont="1" applyAlignment="1">
      <alignment horizontal="left" vertical="center"/>
    </xf>
    <xf numFmtId="0" fontId="67" fillId="0" borderId="117" xfId="0" applyFont="1" applyBorder="1" applyAlignment="1">
      <alignment horizontal="left" vertical="center"/>
    </xf>
    <xf numFmtId="49" fontId="59" fillId="0" borderId="0" xfId="0" applyNumberFormat="1" applyFont="1">
      <alignment vertical="center"/>
    </xf>
    <xf numFmtId="49" fontId="59" fillId="0" borderId="117" xfId="0" applyNumberFormat="1" applyFont="1" applyBorder="1">
      <alignment vertical="center"/>
    </xf>
    <xf numFmtId="49" fontId="59" fillId="0" borderId="0" xfId="0" quotePrefix="1" applyNumberFormat="1" applyFont="1" applyAlignment="1">
      <alignment horizontal="left" vertical="center"/>
    </xf>
    <xf numFmtId="0" fontId="69" fillId="0" borderId="30" xfId="0" applyFont="1" applyBorder="1" applyAlignment="1">
      <alignment horizontal="right" vertical="center"/>
    </xf>
    <xf numFmtId="0" fontId="69" fillId="0" borderId="81" xfId="0" applyFont="1" applyBorder="1" applyAlignment="1">
      <alignment horizontal="right" vertical="center"/>
    </xf>
    <xf numFmtId="0" fontId="69" fillId="0" borderId="34" xfId="0" applyFont="1" applyBorder="1" applyAlignment="1">
      <alignment horizontal="right" vertical="center"/>
    </xf>
    <xf numFmtId="0" fontId="69" fillId="0" borderId="28" xfId="0" applyFont="1" applyBorder="1" applyAlignment="1">
      <alignment horizontal="right" vertical="center"/>
    </xf>
    <xf numFmtId="0" fontId="69" fillId="0" borderId="48" xfId="0" applyFont="1" applyBorder="1" applyAlignment="1">
      <alignment horizontal="left" vertical="center"/>
    </xf>
    <xf numFmtId="0" fontId="59" fillId="0" borderId="48" xfId="0" applyFont="1" applyBorder="1">
      <alignment vertical="center"/>
    </xf>
    <xf numFmtId="49" fontId="1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7" xfId="0" applyBorder="1" applyAlignment="1">
      <alignment horizontal="left" vertical="center"/>
    </xf>
    <xf numFmtId="0" fontId="18" fillId="0" borderId="30" xfId="0" applyFont="1" applyBorder="1" applyAlignment="1">
      <alignment horizontal="right" vertical="center"/>
    </xf>
    <xf numFmtId="0" fontId="18" fillId="0" borderId="81" xfId="0" applyFont="1" applyBorder="1" applyAlignment="1">
      <alignment horizontal="right" vertical="center"/>
    </xf>
    <xf numFmtId="0" fontId="18" fillId="0" borderId="34" xfId="0" applyFont="1" applyBorder="1" applyAlignment="1">
      <alignment horizontal="right" vertical="center"/>
    </xf>
    <xf numFmtId="0" fontId="18" fillId="0" borderId="28" xfId="0" applyFont="1" applyBorder="1" applyAlignment="1">
      <alignment horizontal="right" vertical="center"/>
    </xf>
    <xf numFmtId="0" fontId="18" fillId="0" borderId="56" xfId="0" applyFont="1" applyBorder="1">
      <alignment vertical="center"/>
    </xf>
    <xf numFmtId="0" fontId="18" fillId="0" borderId="48" xfId="0" applyFont="1" applyBorder="1" applyAlignment="1">
      <alignment horizontal="left" vertical="center"/>
    </xf>
    <xf numFmtId="0" fontId="18" fillId="0" borderId="48" xfId="0" applyFont="1" applyBorder="1">
      <alignment vertical="center"/>
    </xf>
    <xf numFmtId="0" fontId="10" fillId="0" borderId="48" xfId="0" applyFont="1" applyBorder="1">
      <alignment vertical="center"/>
    </xf>
    <xf numFmtId="49" fontId="28" fillId="0" borderId="0" xfId="0" quotePrefix="1" applyNumberFormat="1" applyFont="1" applyAlignment="1">
      <alignment horizontal="left" vertical="center"/>
    </xf>
    <xf numFmtId="49" fontId="28" fillId="0" borderId="0" xfId="0" applyNumberFormat="1" applyFont="1">
      <alignment vertical="center"/>
    </xf>
    <xf numFmtId="49" fontId="28" fillId="0" borderId="117" xfId="0" applyNumberFormat="1" applyFont="1" applyBorder="1">
      <alignment vertical="center"/>
    </xf>
    <xf numFmtId="49" fontId="10" fillId="0" borderId="0" xfId="0" applyNumberFormat="1" applyFont="1">
      <alignment vertical="center"/>
    </xf>
    <xf numFmtId="49" fontId="10" fillId="0" borderId="117" xfId="0" applyNumberFormat="1" applyFont="1" applyBorder="1">
      <alignment vertical="center"/>
    </xf>
    <xf numFmtId="0" fontId="10" fillId="0" borderId="56" xfId="0" applyFont="1" applyBorder="1" applyAlignment="1">
      <alignment horizontal="left" vertical="center"/>
    </xf>
    <xf numFmtId="0" fontId="10" fillId="0" borderId="56" xfId="0" applyFont="1" applyBorder="1">
      <alignment vertical="center"/>
    </xf>
    <xf numFmtId="0" fontId="10" fillId="0" borderId="39" xfId="0" applyFont="1" applyBorder="1">
      <alignment vertical="center"/>
    </xf>
    <xf numFmtId="0" fontId="18" fillId="0" borderId="41" xfId="0" applyFont="1" applyBorder="1" applyAlignment="1">
      <alignment horizontal="right" vertical="center"/>
    </xf>
    <xf numFmtId="0" fontId="18" fillId="0" borderId="0" xfId="0" applyFont="1">
      <alignment vertical="center"/>
    </xf>
    <xf numFmtId="0" fontId="18" fillId="0" borderId="39" xfId="0" applyFont="1" applyBorder="1" applyAlignment="1">
      <alignment horizontal="left" vertical="center"/>
    </xf>
    <xf numFmtId="0" fontId="18" fillId="0" borderId="39" xfId="0" applyFont="1" applyBorder="1">
      <alignment vertical="center"/>
    </xf>
    <xf numFmtId="0" fontId="18" fillId="0" borderId="56" xfId="0" applyFont="1" applyBorder="1" applyAlignment="1">
      <alignment horizontal="right" vertical="center"/>
    </xf>
    <xf numFmtId="0" fontId="10" fillId="0" borderId="56" xfId="0" applyFont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8" fillId="0" borderId="29" xfId="0" applyFont="1" applyBorder="1" applyAlignment="1">
      <alignment horizontal="right" vertical="center"/>
    </xf>
    <xf numFmtId="0" fontId="54" fillId="28" borderId="127" xfId="0" applyFont="1" applyFill="1" applyBorder="1" applyAlignment="1">
      <alignment horizontal="center" vertical="center"/>
    </xf>
    <xf numFmtId="0" fontId="54" fillId="28" borderId="85" xfId="0" applyFont="1" applyFill="1" applyBorder="1" applyAlignment="1">
      <alignment horizontal="center" vertical="center"/>
    </xf>
    <xf numFmtId="0" fontId="54" fillId="28" borderId="128" xfId="0" applyFont="1" applyFill="1" applyBorder="1" applyAlignment="1">
      <alignment horizontal="center" vertical="center"/>
    </xf>
    <xf numFmtId="0" fontId="19" fillId="0" borderId="36" xfId="0" applyFont="1" applyBorder="1" applyAlignment="1">
      <alignment horizontal="distributed" vertical="center"/>
    </xf>
    <xf numFmtId="0" fontId="19" fillId="0" borderId="15" xfId="0" applyFont="1" applyBorder="1" applyAlignment="1">
      <alignment horizontal="distributed" vertical="center"/>
    </xf>
    <xf numFmtId="0" fontId="19" fillId="0" borderId="35" xfId="0" applyFont="1" applyBorder="1" applyAlignment="1">
      <alignment horizontal="distributed" vertical="center"/>
    </xf>
    <xf numFmtId="0" fontId="19" fillId="26" borderId="36" xfId="0" applyFont="1" applyFill="1" applyBorder="1" applyAlignment="1">
      <alignment horizontal="distributed" vertical="center"/>
    </xf>
    <xf numFmtId="0" fontId="19" fillId="26" borderId="15" xfId="0" applyFont="1" applyFill="1" applyBorder="1" applyAlignment="1">
      <alignment horizontal="distributed" vertical="center"/>
    </xf>
    <xf numFmtId="0" fontId="19" fillId="26" borderId="17" xfId="0" applyFont="1" applyFill="1" applyBorder="1" applyAlignment="1">
      <alignment horizontal="distributed" vertical="center"/>
    </xf>
    <xf numFmtId="0" fontId="19" fillId="26" borderId="35" xfId="0" applyFont="1" applyFill="1" applyBorder="1" applyAlignment="1">
      <alignment horizontal="distributed" vertical="center"/>
    </xf>
    <xf numFmtId="189" fontId="88" fillId="30" borderId="159" xfId="0" applyNumberFormat="1" applyFont="1" applyFill="1" applyBorder="1" applyAlignment="1">
      <alignment horizontal="center" vertical="center"/>
    </xf>
    <xf numFmtId="0" fontId="88" fillId="30" borderId="161" xfId="0" applyFont="1" applyFill="1" applyBorder="1" applyAlignment="1">
      <alignment horizontal="center" vertical="center"/>
    </xf>
    <xf numFmtId="0" fontId="88" fillId="30" borderId="159" xfId="0" applyFont="1" applyFill="1" applyBorder="1" applyAlignment="1">
      <alignment horizontal="center" vertical="center"/>
    </xf>
    <xf numFmtId="190" fontId="88" fillId="30" borderId="159" xfId="0" applyNumberFormat="1" applyFont="1" applyFill="1" applyBorder="1" applyAlignment="1">
      <alignment horizontal="center" vertical="center"/>
    </xf>
    <xf numFmtId="190" fontId="88" fillId="30" borderId="161" xfId="0" applyNumberFormat="1" applyFont="1" applyFill="1" applyBorder="1" applyAlignment="1">
      <alignment horizontal="center" vertical="center"/>
    </xf>
    <xf numFmtId="190" fontId="88" fillId="30" borderId="160" xfId="0" applyNumberFormat="1" applyFont="1" applyFill="1" applyBorder="1" applyAlignment="1">
      <alignment horizontal="center" vertical="center"/>
    </xf>
    <xf numFmtId="189" fontId="88" fillId="30" borderId="161" xfId="0" applyNumberFormat="1" applyFont="1" applyFill="1" applyBorder="1" applyAlignment="1">
      <alignment horizontal="center" vertical="center"/>
    </xf>
    <xf numFmtId="189" fontId="88" fillId="30" borderId="160" xfId="0" applyNumberFormat="1" applyFont="1" applyFill="1" applyBorder="1" applyAlignment="1">
      <alignment horizontal="center" vertical="center"/>
    </xf>
    <xf numFmtId="0" fontId="88" fillId="30" borderId="160" xfId="0" applyFont="1" applyFill="1" applyBorder="1" applyAlignment="1">
      <alignment horizontal="center" vertical="center"/>
    </xf>
    <xf numFmtId="202" fontId="88" fillId="30" borderId="159" xfId="33" applyNumberFormat="1" applyFont="1" applyFill="1" applyBorder="1" applyAlignment="1">
      <alignment horizontal="center" vertical="center"/>
    </xf>
    <xf numFmtId="202" fontId="88" fillId="30" borderId="161" xfId="33" applyNumberFormat="1" applyFont="1" applyFill="1" applyBorder="1" applyAlignment="1">
      <alignment horizontal="center" vertical="center"/>
    </xf>
    <xf numFmtId="202" fontId="88" fillId="30" borderId="160" xfId="33" applyNumberFormat="1" applyFont="1" applyFill="1" applyBorder="1" applyAlignment="1">
      <alignment horizontal="center" vertical="center"/>
    </xf>
    <xf numFmtId="202" fontId="88" fillId="30" borderId="159" xfId="0" applyNumberFormat="1" applyFont="1" applyFill="1" applyBorder="1" applyAlignment="1">
      <alignment horizontal="center" vertical="center"/>
    </xf>
    <xf numFmtId="202" fontId="88" fillId="30" borderId="161" xfId="0" applyNumberFormat="1" applyFont="1" applyFill="1" applyBorder="1" applyAlignment="1">
      <alignment horizontal="center" vertical="center"/>
    </xf>
    <xf numFmtId="202" fontId="88" fillId="30" borderId="160" xfId="0" applyNumberFormat="1" applyFont="1" applyFill="1" applyBorder="1" applyAlignment="1">
      <alignment horizontal="center" vertical="center"/>
    </xf>
    <xf numFmtId="183" fontId="88" fillId="30" borderId="159" xfId="0" applyNumberFormat="1" applyFont="1" applyFill="1" applyBorder="1" applyAlignment="1">
      <alignment horizontal="center" vertical="center"/>
    </xf>
    <xf numFmtId="0" fontId="88" fillId="31" borderId="160" xfId="0" applyFont="1" applyFill="1" applyBorder="1" applyAlignment="1">
      <alignment horizontal="center" vertical="center"/>
    </xf>
    <xf numFmtId="0" fontId="88" fillId="31" borderId="158" xfId="0" applyFont="1" applyFill="1" applyBorder="1" applyAlignment="1">
      <alignment horizontal="center" vertical="center"/>
    </xf>
    <xf numFmtId="0" fontId="88" fillId="31" borderId="160" xfId="0" applyFont="1" applyFill="1" applyBorder="1" applyAlignment="1">
      <alignment horizontal="center" vertical="center" wrapText="1"/>
    </xf>
    <xf numFmtId="0" fontId="88" fillId="31" borderId="159" xfId="0" applyFont="1" applyFill="1" applyBorder="1" applyAlignment="1">
      <alignment horizontal="distributed" vertical="center" indent="1"/>
    </xf>
    <xf numFmtId="0" fontId="88" fillId="31" borderId="160" xfId="0" applyFont="1" applyFill="1" applyBorder="1" applyAlignment="1">
      <alignment horizontal="distributed" vertical="center" indent="1"/>
    </xf>
    <xf numFmtId="0" fontId="88" fillId="31" borderId="162" xfId="0" applyFont="1" applyFill="1" applyBorder="1" applyAlignment="1">
      <alignment horizontal="center" vertical="center"/>
    </xf>
    <xf numFmtId="0" fontId="88" fillId="31" borderId="159" xfId="0" applyFont="1" applyFill="1" applyBorder="1" applyAlignment="1">
      <alignment horizontal="center" vertical="center"/>
    </xf>
    <xf numFmtId="185" fontId="88" fillId="30" borderId="159" xfId="0" applyNumberFormat="1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9" fillId="0" borderId="78" xfId="0" applyFont="1" applyBorder="1" applyAlignment="1">
      <alignment horizontal="center" vertical="center"/>
    </xf>
    <xf numFmtId="0" fontId="69" fillId="0" borderId="43" xfId="0" applyFont="1" applyBorder="1" applyAlignment="1">
      <alignment horizontal="center" vertical="center"/>
    </xf>
    <xf numFmtId="0" fontId="69" fillId="0" borderId="22" xfId="0" applyFont="1" applyBorder="1" applyAlignment="1">
      <alignment horizontal="center" vertical="center" wrapText="1"/>
    </xf>
    <xf numFmtId="0" fontId="69" fillId="0" borderId="129" xfId="0" applyFont="1" applyBorder="1" applyAlignment="1">
      <alignment horizontal="center" vertical="center"/>
    </xf>
    <xf numFmtId="0" fontId="69" fillId="0" borderId="22" xfId="0" applyFont="1" applyBorder="1" applyAlignment="1">
      <alignment horizontal="center" vertical="center"/>
    </xf>
    <xf numFmtId="0" fontId="69" fillId="0" borderId="130" xfId="0" applyFont="1" applyBorder="1" applyAlignment="1">
      <alignment horizontal="center" vertical="center"/>
    </xf>
    <xf numFmtId="0" fontId="69" fillId="0" borderId="131" xfId="0" applyFont="1" applyBorder="1" applyAlignment="1">
      <alignment horizontal="center" vertical="center"/>
    </xf>
    <xf numFmtId="0" fontId="69" fillId="0" borderId="132" xfId="0" applyFont="1" applyBorder="1" applyAlignment="1">
      <alignment horizontal="center" vertical="center"/>
    </xf>
    <xf numFmtId="0" fontId="69" fillId="0" borderId="23" xfId="0" applyFont="1" applyBorder="1" applyAlignment="1">
      <alignment horizontal="center" vertical="center" wrapText="1"/>
    </xf>
    <xf numFmtId="0" fontId="67" fillId="0" borderId="133" xfId="0" applyFont="1" applyBorder="1">
      <alignment vertical="center"/>
    </xf>
    <xf numFmtId="0" fontId="93" fillId="0" borderId="41" xfId="0" applyFont="1" applyBorder="1" applyAlignment="1">
      <alignment horizontal="center" vertical="center" wrapText="1"/>
    </xf>
    <xf numFmtId="189" fontId="59" fillId="0" borderId="31" xfId="29" applyNumberFormat="1" applyFont="1" applyFill="1" applyBorder="1" applyAlignment="1">
      <alignment horizontal="center" vertical="center"/>
    </xf>
    <xf numFmtId="189" fontId="59" fillId="0" borderId="10" xfId="29" applyNumberFormat="1" applyFont="1" applyFill="1" applyBorder="1" applyAlignment="1">
      <alignment horizontal="center" vertical="center"/>
    </xf>
    <xf numFmtId="0" fontId="93" fillId="0" borderId="38" xfId="0" applyFont="1" applyBorder="1" applyAlignment="1">
      <alignment horizontal="center" vertical="center" wrapText="1"/>
    </xf>
    <xf numFmtId="0" fontId="94" fillId="0" borderId="15" xfId="0" applyFont="1" applyBorder="1" applyAlignment="1">
      <alignment horizontal="center" vertical="center"/>
    </xf>
    <xf numFmtId="0" fontId="94" fillId="0" borderId="17" xfId="0" applyFont="1" applyBorder="1" applyAlignment="1">
      <alignment horizontal="center" vertical="center"/>
    </xf>
    <xf numFmtId="189" fontId="59" fillId="0" borderId="13" xfId="29" applyNumberFormat="1" applyFont="1" applyFill="1" applyBorder="1" applyAlignment="1">
      <alignment horizontal="center" vertical="center"/>
    </xf>
    <xf numFmtId="0" fontId="69" fillId="0" borderId="136" xfId="0" applyFont="1" applyBorder="1" applyAlignment="1">
      <alignment horizontal="center" vertical="center" wrapText="1" shrinkToFit="1"/>
    </xf>
    <xf numFmtId="0" fontId="69" fillId="0" borderId="21" xfId="0" applyFont="1" applyBorder="1" applyAlignment="1">
      <alignment horizontal="center" vertical="center" shrinkToFit="1"/>
    </xf>
    <xf numFmtId="0" fontId="69" fillId="0" borderId="84" xfId="0" applyFont="1" applyBorder="1" applyAlignment="1">
      <alignment horizontal="center" vertical="center" shrinkToFit="1"/>
    </xf>
    <xf numFmtId="0" fontId="69" fillId="0" borderId="0" xfId="0" applyFont="1" applyAlignment="1">
      <alignment horizontal="center" vertical="center" shrinkToFit="1"/>
    </xf>
    <xf numFmtId="0" fontId="69" fillId="0" borderId="137" xfId="0" applyFont="1" applyBorder="1" applyAlignment="1">
      <alignment horizontal="center" vertical="center" shrinkToFit="1"/>
    </xf>
    <xf numFmtId="0" fontId="69" fillId="0" borderId="44" xfId="0" applyFont="1" applyBorder="1" applyAlignment="1">
      <alignment horizontal="center" vertical="center" shrinkToFit="1"/>
    </xf>
    <xf numFmtId="0" fontId="69" fillId="0" borderId="134" xfId="0" applyFont="1" applyBorder="1" applyAlignment="1">
      <alignment horizontal="center" vertical="center" shrinkToFit="1"/>
    </xf>
    <xf numFmtId="0" fontId="69" fillId="0" borderId="117" xfId="0" applyFont="1" applyBorder="1" applyAlignment="1">
      <alignment horizontal="center" vertical="center" shrinkToFit="1"/>
    </xf>
    <xf numFmtId="0" fontId="69" fillId="0" borderId="135" xfId="0" applyFont="1" applyBorder="1" applyAlignment="1">
      <alignment horizontal="center" vertical="center" shrinkToFit="1"/>
    </xf>
    <xf numFmtId="2" fontId="59" fillId="0" borderId="99" xfId="0" applyNumberFormat="1" applyFont="1" applyBorder="1" applyAlignment="1">
      <alignment horizontal="center"/>
    </xf>
    <xf numFmtId="2" fontId="59" fillId="0" borderId="138" xfId="0" applyNumberFormat="1" applyFont="1" applyBorder="1" applyAlignment="1">
      <alignment horizontal="center"/>
    </xf>
    <xf numFmtId="0" fontId="59" fillId="0" borderId="139" xfId="0" applyFont="1" applyBorder="1" applyAlignment="1">
      <alignment horizontal="left" wrapText="1" indent="1"/>
    </xf>
    <xf numFmtId="0" fontId="59" fillId="0" borderId="140" xfId="0" applyFont="1" applyBorder="1" applyAlignment="1">
      <alignment horizontal="left" wrapText="1" indent="1"/>
    </xf>
    <xf numFmtId="189" fontId="59" fillId="0" borderId="93" xfId="0" applyNumberFormat="1" applyFont="1" applyBorder="1" applyAlignment="1">
      <alignment horizontal="center"/>
    </xf>
    <xf numFmtId="189" fontId="59" fillId="0" borderId="141" xfId="0" applyNumberFormat="1" applyFont="1" applyBorder="1" applyAlignment="1">
      <alignment horizontal="center"/>
    </xf>
    <xf numFmtId="0" fontId="59" fillId="0" borderId="142" xfId="0" applyFont="1" applyBorder="1" applyAlignment="1">
      <alignment horizontal="center"/>
    </xf>
    <xf numFmtId="0" fontId="59" fillId="0" borderId="143" xfId="0" applyFont="1" applyBorder="1" applyAlignment="1">
      <alignment horizontal="center"/>
    </xf>
    <xf numFmtId="185" fontId="59" fillId="0" borderId="93" xfId="0" applyNumberFormat="1" applyFont="1" applyBorder="1" applyAlignment="1">
      <alignment horizontal="center"/>
    </xf>
    <xf numFmtId="185" fontId="59" fillId="0" borderId="144" xfId="0" applyNumberFormat="1" applyFont="1" applyBorder="1" applyAlignment="1">
      <alignment horizontal="center"/>
    </xf>
    <xf numFmtId="0" fontId="69" fillId="0" borderId="12" xfId="0" applyFont="1" applyBorder="1" applyAlignment="1">
      <alignment horizontal="center" vertical="center" wrapText="1" shrinkToFit="1"/>
    </xf>
    <xf numFmtId="0" fontId="69" fillId="0" borderId="16" xfId="0" applyFont="1" applyBorder="1" applyAlignment="1">
      <alignment horizontal="center" vertical="center" shrinkToFit="1"/>
    </xf>
    <xf numFmtId="0" fontId="59" fillId="0" borderId="18" xfId="0" applyFont="1" applyBorder="1" applyAlignment="1">
      <alignment horizontal="center" vertical="center" shrinkToFit="1"/>
    </xf>
    <xf numFmtId="189" fontId="59" fillId="0" borderId="142" xfId="0" applyNumberFormat="1" applyFont="1" applyBorder="1" applyAlignment="1">
      <alignment horizontal="center"/>
    </xf>
    <xf numFmtId="189" fontId="59" fillId="0" borderId="143" xfId="0" applyNumberFormat="1" applyFont="1" applyBorder="1" applyAlignment="1">
      <alignment horizontal="center"/>
    </xf>
    <xf numFmtId="2" fontId="59" fillId="0" borderId="93" xfId="0" applyNumberFormat="1" applyFont="1" applyBorder="1" applyAlignment="1">
      <alignment horizontal="center"/>
    </xf>
    <xf numFmtId="2" fontId="59" fillId="0" borderId="144" xfId="0" applyNumberFormat="1" applyFont="1" applyBorder="1" applyAlignment="1">
      <alignment horizontal="center"/>
    </xf>
    <xf numFmtId="0" fontId="59" fillId="0" borderId="148" xfId="0" applyFont="1" applyBorder="1" applyAlignment="1">
      <alignment horizontal="left" wrapText="1" indent="1"/>
    </xf>
    <xf numFmtId="0" fontId="59" fillId="0" borderId="149" xfId="0" applyFont="1" applyBorder="1" applyAlignment="1">
      <alignment horizontal="left" wrapText="1" indent="1"/>
    </xf>
    <xf numFmtId="189" fontId="59" fillId="0" borderId="99" xfId="0" applyNumberFormat="1" applyFont="1" applyBorder="1" applyAlignment="1">
      <alignment horizontal="center"/>
    </xf>
    <xf numFmtId="189" fontId="59" fillId="0" borderId="150" xfId="0" applyNumberFormat="1" applyFont="1" applyBorder="1" applyAlignment="1">
      <alignment horizontal="center"/>
    </xf>
    <xf numFmtId="183" fontId="59" fillId="0" borderId="99" xfId="0" applyNumberFormat="1" applyFont="1" applyBorder="1" applyAlignment="1">
      <alignment horizontal="center"/>
    </xf>
    <xf numFmtId="183" fontId="59" fillId="0" borderId="138" xfId="0" applyNumberFormat="1" applyFont="1" applyBorder="1" applyAlignment="1">
      <alignment horizontal="center"/>
    </xf>
    <xf numFmtId="185" fontId="59" fillId="0" borderId="99" xfId="0" applyNumberFormat="1" applyFont="1" applyBorder="1" applyAlignment="1">
      <alignment horizontal="center"/>
    </xf>
    <xf numFmtId="185" fontId="59" fillId="0" borderId="138" xfId="0" applyNumberFormat="1" applyFont="1" applyBorder="1" applyAlignment="1">
      <alignment horizontal="center"/>
    </xf>
    <xf numFmtId="0" fontId="69" fillId="0" borderId="21" xfId="0" applyFont="1" applyBorder="1" applyAlignment="1">
      <alignment horizontal="center" vertical="center"/>
    </xf>
    <xf numFmtId="0" fontId="69" fillId="0" borderId="134" xfId="0" applyFont="1" applyBorder="1" applyAlignment="1">
      <alignment horizontal="center" vertical="center"/>
    </xf>
    <xf numFmtId="0" fontId="69" fillId="0" borderId="41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9" fillId="0" borderId="117" xfId="0" applyFont="1" applyBorder="1" applyAlignment="1">
      <alignment horizontal="center" vertical="center"/>
    </xf>
    <xf numFmtId="0" fontId="69" fillId="0" borderId="44" xfId="0" applyFont="1" applyBorder="1" applyAlignment="1">
      <alignment horizontal="center" vertical="center"/>
    </xf>
    <xf numFmtId="0" fontId="69" fillId="0" borderId="135" xfId="0" applyFont="1" applyBorder="1" applyAlignment="1">
      <alignment horizontal="center" vertical="center"/>
    </xf>
    <xf numFmtId="2" fontId="59" fillId="0" borderId="0" xfId="0" applyNumberFormat="1" applyFont="1" applyAlignment="1">
      <alignment horizontal="center"/>
    </xf>
    <xf numFmtId="9" fontId="59" fillId="0" borderId="112" xfId="0" applyNumberFormat="1" applyFont="1" applyBorder="1" applyAlignment="1">
      <alignment horizontal="center"/>
    </xf>
    <xf numFmtId="9" fontId="59" fillId="0" borderId="151" xfId="0" applyNumberFormat="1" applyFont="1" applyBorder="1" applyAlignment="1">
      <alignment horizontal="center"/>
    </xf>
    <xf numFmtId="2" fontId="59" fillId="0" borderId="112" xfId="0" applyNumberFormat="1" applyFont="1" applyBorder="1" applyAlignment="1">
      <alignment horizontal="center"/>
    </xf>
    <xf numFmtId="2" fontId="59" fillId="0" borderId="151" xfId="0" applyNumberFormat="1" applyFont="1" applyBorder="1" applyAlignment="1">
      <alignment horizontal="center"/>
    </xf>
    <xf numFmtId="185" fontId="59" fillId="0" borderId="112" xfId="0" applyNumberFormat="1" applyFont="1" applyBorder="1" applyAlignment="1">
      <alignment horizontal="center"/>
    </xf>
    <xf numFmtId="185" fontId="59" fillId="0" borderId="151" xfId="0" applyNumberFormat="1" applyFont="1" applyBorder="1" applyAlignment="1">
      <alignment horizontal="center"/>
    </xf>
    <xf numFmtId="0" fontId="59" fillId="0" borderId="0" xfId="0" applyFont="1" applyAlignment="1">
      <alignment horizontal="left" wrapText="1" indent="1"/>
    </xf>
    <xf numFmtId="1" fontId="59" fillId="0" borderId="0" xfId="0" applyNumberFormat="1" applyFont="1" applyAlignment="1">
      <alignment horizontal="center"/>
    </xf>
    <xf numFmtId="9" fontId="59" fillId="0" borderId="0" xfId="0" applyNumberFormat="1" applyFont="1" applyAlignment="1">
      <alignment horizontal="center"/>
    </xf>
    <xf numFmtId="0" fontId="59" fillId="0" borderId="145" xfId="0" applyFont="1" applyBorder="1" applyAlignment="1">
      <alignment horizontal="left" wrapText="1" indent="1"/>
    </xf>
    <xf numFmtId="0" fontId="59" fillId="0" borderId="146" xfId="0" applyFont="1" applyBorder="1" applyAlignment="1">
      <alignment horizontal="left" wrapText="1" indent="1"/>
    </xf>
    <xf numFmtId="189" fontId="59" fillId="0" borderId="112" xfId="0" applyNumberFormat="1" applyFont="1" applyBorder="1" applyAlignment="1">
      <alignment horizontal="center"/>
    </xf>
    <xf numFmtId="189" fontId="59" fillId="0" borderId="147" xfId="0" applyNumberFormat="1" applyFont="1" applyBorder="1" applyAlignment="1">
      <alignment horizontal="center"/>
    </xf>
    <xf numFmtId="183" fontId="59" fillId="0" borderId="112" xfId="0" applyNumberFormat="1" applyFont="1" applyBorder="1" applyAlignment="1">
      <alignment horizontal="center"/>
    </xf>
    <xf numFmtId="183" fontId="59" fillId="0" borderId="151" xfId="0" applyNumberFormat="1" applyFont="1" applyBorder="1" applyAlignment="1">
      <alignment horizontal="center"/>
    </xf>
    <xf numFmtId="0" fontId="69" fillId="0" borderId="47" xfId="0" applyFont="1" applyBorder="1" applyAlignment="1">
      <alignment horizontal="center" vertical="center" wrapText="1"/>
    </xf>
    <xf numFmtId="0" fontId="69" fillId="0" borderId="133" xfId="0" applyFont="1" applyBorder="1" applyAlignment="1">
      <alignment horizontal="center" vertical="center" wrapText="1"/>
    </xf>
    <xf numFmtId="0" fontId="61" fillId="32" borderId="152" xfId="0" applyFont="1" applyFill="1" applyBorder="1" applyAlignment="1">
      <alignment horizontal="left" wrapText="1" indent="1"/>
    </xf>
    <xf numFmtId="0" fontId="61" fillId="32" borderId="153" xfId="0" applyFont="1" applyFill="1" applyBorder="1" applyAlignment="1">
      <alignment horizontal="left" wrapText="1" indent="1"/>
    </xf>
    <xf numFmtId="0" fontId="61" fillId="32" borderId="154" xfId="0" applyFont="1" applyFill="1" applyBorder="1" applyAlignment="1">
      <alignment horizontal="left" wrapText="1" indent="1"/>
    </xf>
    <xf numFmtId="189" fontId="59" fillId="32" borderId="155" xfId="0" applyNumberFormat="1" applyFont="1" applyFill="1" applyBorder="1" applyAlignment="1">
      <alignment horizontal="center"/>
    </xf>
    <xf numFmtId="189" fontId="59" fillId="32" borderId="154" xfId="0" applyNumberFormat="1" applyFont="1" applyFill="1" applyBorder="1" applyAlignment="1">
      <alignment horizontal="center"/>
    </xf>
    <xf numFmtId="0" fontId="59" fillId="32" borderId="155" xfId="0" applyFont="1" applyFill="1" applyBorder="1" applyAlignment="1">
      <alignment horizontal="center"/>
    </xf>
    <xf numFmtId="0" fontId="59" fillId="32" borderId="154" xfId="0" applyFont="1" applyFill="1" applyBorder="1" applyAlignment="1">
      <alignment horizontal="center"/>
    </xf>
    <xf numFmtId="178" fontId="59" fillId="32" borderId="155" xfId="0" applyNumberFormat="1" applyFont="1" applyFill="1" applyBorder="1" applyAlignment="1">
      <alignment horizontal="center"/>
    </xf>
    <xf numFmtId="178" fontId="59" fillId="32" borderId="154" xfId="0" applyNumberFormat="1" applyFont="1" applyFill="1" applyBorder="1" applyAlignment="1">
      <alignment horizontal="center"/>
    </xf>
    <xf numFmtId="180" fontId="59" fillId="32" borderId="155" xfId="0" applyNumberFormat="1" applyFont="1" applyFill="1" applyBorder="1" applyAlignment="1">
      <alignment horizontal="center"/>
    </xf>
    <xf numFmtId="180" fontId="59" fillId="32" borderId="154" xfId="0" applyNumberFormat="1" applyFont="1" applyFill="1" applyBorder="1" applyAlignment="1">
      <alignment horizontal="center"/>
    </xf>
    <xf numFmtId="0" fontId="69" fillId="0" borderId="134" xfId="0" applyFont="1" applyBorder="1" applyAlignment="1">
      <alignment horizontal="center" vertical="center" wrapText="1" shrinkToFit="1"/>
    </xf>
    <xf numFmtId="0" fontId="69" fillId="0" borderId="84" xfId="0" applyFont="1" applyBorder="1" applyAlignment="1">
      <alignment horizontal="center" vertical="center" wrapText="1" shrinkToFit="1"/>
    </xf>
    <xf numFmtId="0" fontId="69" fillId="0" borderId="117" xfId="0" applyFont="1" applyBorder="1" applyAlignment="1">
      <alignment horizontal="center" vertical="center" wrapText="1" shrinkToFit="1"/>
    </xf>
    <xf numFmtId="0" fontId="69" fillId="0" borderId="137" xfId="0" applyFont="1" applyBorder="1" applyAlignment="1">
      <alignment horizontal="center" vertical="center" wrapText="1" shrinkToFit="1"/>
    </xf>
    <xf numFmtId="0" fontId="69" fillId="0" borderId="135" xfId="0" applyFont="1" applyBorder="1" applyAlignment="1">
      <alignment horizontal="center" vertical="center" wrapText="1" shrinkToFit="1"/>
    </xf>
    <xf numFmtId="0" fontId="69" fillId="0" borderId="136" xfId="0" applyFont="1" applyBorder="1" applyAlignment="1">
      <alignment horizontal="center" vertical="center" wrapText="1"/>
    </xf>
    <xf numFmtId="0" fontId="69" fillId="0" borderId="134" xfId="0" applyFont="1" applyBorder="1" applyAlignment="1">
      <alignment horizontal="center" vertical="center" wrapText="1"/>
    </xf>
    <xf numFmtId="0" fontId="69" fillId="0" borderId="84" xfId="0" applyFont="1" applyBorder="1" applyAlignment="1">
      <alignment horizontal="center" vertical="center" wrapText="1"/>
    </xf>
    <xf numFmtId="0" fontId="69" fillId="0" borderId="117" xfId="0" applyFont="1" applyBorder="1" applyAlignment="1">
      <alignment horizontal="center" vertical="center" wrapText="1"/>
    </xf>
    <xf numFmtId="0" fontId="69" fillId="0" borderId="137" xfId="0" applyFont="1" applyBorder="1" applyAlignment="1">
      <alignment horizontal="center" vertical="center" wrapText="1"/>
    </xf>
    <xf numFmtId="0" fontId="69" fillId="0" borderId="135" xfId="0" applyFont="1" applyBorder="1" applyAlignment="1">
      <alignment horizontal="center" vertical="center" wrapText="1"/>
    </xf>
    <xf numFmtId="189" fontId="59" fillId="32" borderId="99" xfId="0" applyNumberFormat="1" applyFont="1" applyFill="1" applyBorder="1" applyAlignment="1">
      <alignment horizontal="center"/>
    </xf>
    <xf numFmtId="189" fontId="59" fillId="32" borderId="138" xfId="0" applyNumberFormat="1" applyFont="1" applyFill="1" applyBorder="1" applyAlignment="1">
      <alignment horizontal="center"/>
    </xf>
    <xf numFmtId="0" fontId="59" fillId="0" borderId="156" xfId="0" applyFont="1" applyBorder="1" applyAlignment="1">
      <alignment horizontal="left" wrapText="1" indent="1"/>
    </xf>
    <xf numFmtId="0" fontId="59" fillId="0" borderId="150" xfId="0" applyFont="1" applyBorder="1" applyAlignment="1">
      <alignment horizontal="left" wrapText="1" indent="1"/>
    </xf>
    <xf numFmtId="0" fontId="59" fillId="0" borderId="138" xfId="0" applyFont="1" applyBorder="1" applyAlignment="1">
      <alignment horizontal="left" wrapText="1" indent="1"/>
    </xf>
    <xf numFmtId="189" fontId="59" fillId="0" borderId="138" xfId="0" applyNumberFormat="1" applyFont="1" applyBorder="1" applyAlignment="1">
      <alignment horizontal="center"/>
    </xf>
    <xf numFmtId="0" fontId="59" fillId="0" borderId="99" xfId="0" applyFont="1" applyBorder="1" applyAlignment="1">
      <alignment horizontal="center"/>
    </xf>
    <xf numFmtId="0" fontId="59" fillId="0" borderId="138" xfId="0" applyFont="1" applyBorder="1" applyAlignment="1">
      <alignment horizontal="center"/>
    </xf>
    <xf numFmtId="178" fontId="59" fillId="0" borderId="99" xfId="0" applyNumberFormat="1" applyFont="1" applyBorder="1" applyAlignment="1">
      <alignment horizontal="center"/>
    </xf>
    <xf numFmtId="178" fontId="59" fillId="0" borderId="138" xfId="0" applyNumberFormat="1" applyFont="1" applyBorder="1" applyAlignment="1">
      <alignment horizontal="center"/>
    </xf>
    <xf numFmtId="0" fontId="61" fillId="32" borderId="156" xfId="0" applyFont="1" applyFill="1" applyBorder="1" applyAlignment="1">
      <alignment horizontal="left" wrapText="1" indent="1"/>
    </xf>
    <xf numFmtId="0" fontId="61" fillId="32" borderId="150" xfId="0" applyFont="1" applyFill="1" applyBorder="1" applyAlignment="1">
      <alignment horizontal="left" wrapText="1" indent="1"/>
    </xf>
    <xf numFmtId="0" fontId="61" fillId="32" borderId="138" xfId="0" applyFont="1" applyFill="1" applyBorder="1" applyAlignment="1">
      <alignment horizontal="left" wrapText="1" indent="1"/>
    </xf>
    <xf numFmtId="0" fontId="59" fillId="32" borderId="99" xfId="0" applyFont="1" applyFill="1" applyBorder="1" applyAlignment="1">
      <alignment horizontal="center"/>
    </xf>
    <xf numFmtId="0" fontId="59" fillId="32" borderId="138" xfId="0" applyFont="1" applyFill="1" applyBorder="1" applyAlignment="1">
      <alignment horizontal="center"/>
    </xf>
    <xf numFmtId="178" fontId="59" fillId="32" borderId="99" xfId="0" applyNumberFormat="1" applyFont="1" applyFill="1" applyBorder="1" applyAlignment="1">
      <alignment horizontal="center"/>
    </xf>
    <xf numFmtId="178" fontId="59" fillId="32" borderId="138" xfId="0" applyNumberFormat="1" applyFont="1" applyFill="1" applyBorder="1" applyAlignment="1">
      <alignment horizontal="center"/>
    </xf>
    <xf numFmtId="180" fontId="59" fillId="32" borderId="99" xfId="0" applyNumberFormat="1" applyFont="1" applyFill="1" applyBorder="1" applyAlignment="1">
      <alignment horizontal="center"/>
    </xf>
    <xf numFmtId="180" fontId="59" fillId="32" borderId="138" xfId="0" applyNumberFormat="1" applyFont="1" applyFill="1" applyBorder="1" applyAlignment="1">
      <alignment horizontal="center"/>
    </xf>
    <xf numFmtId="189" fontId="59" fillId="0" borderId="151" xfId="0" applyNumberFormat="1" applyFont="1" applyBorder="1" applyAlignment="1">
      <alignment horizontal="center"/>
    </xf>
    <xf numFmtId="0" fontId="59" fillId="0" borderId="0" xfId="0" applyFont="1" applyAlignment="1">
      <alignment horizontal="center"/>
    </xf>
    <xf numFmtId="0" fontId="59" fillId="0" borderId="157" xfId="0" applyFont="1" applyBorder="1" applyAlignment="1">
      <alignment horizontal="left" wrapText="1" indent="1"/>
    </xf>
    <xf numFmtId="0" fontId="59" fillId="0" borderId="147" xfId="0" applyFont="1" applyBorder="1" applyAlignment="1">
      <alignment horizontal="left" wrapText="1" indent="1"/>
    </xf>
    <xf numFmtId="0" fontId="59" fillId="0" borderId="151" xfId="0" applyFont="1" applyBorder="1" applyAlignment="1">
      <alignment horizontal="left" wrapText="1" indent="1"/>
    </xf>
    <xf numFmtId="0" fontId="59" fillId="0" borderId="112" xfId="0" applyFont="1" applyBorder="1" applyAlignment="1">
      <alignment horizontal="center"/>
    </xf>
    <xf numFmtId="0" fontId="59" fillId="0" borderId="151" xfId="0" applyFont="1" applyBorder="1" applyAlignment="1">
      <alignment horizontal="center"/>
    </xf>
    <xf numFmtId="178" fontId="59" fillId="0" borderId="112" xfId="0" applyNumberFormat="1" applyFont="1" applyBorder="1" applyAlignment="1">
      <alignment horizontal="center"/>
    </xf>
    <xf numFmtId="178" fontId="59" fillId="0" borderId="151" xfId="0" applyNumberFormat="1" applyFont="1" applyBorder="1" applyAlignment="1">
      <alignment horizontal="center"/>
    </xf>
    <xf numFmtId="0" fontId="46" fillId="0" borderId="28" xfId="0" applyFont="1" applyBorder="1" applyAlignment="1">
      <alignment horizontal="left" vertical="center"/>
    </xf>
    <xf numFmtId="0" fontId="9" fillId="0" borderId="56" xfId="0" applyFont="1" applyBorder="1" applyAlignment="1">
      <alignment horizontal="left" vertical="center"/>
    </xf>
    <xf numFmtId="0" fontId="18" fillId="0" borderId="33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77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/>
    </xf>
    <xf numFmtId="0" fontId="10" fillId="27" borderId="69" xfId="0" applyFont="1" applyFill="1" applyBorder="1" applyAlignment="1">
      <alignment horizontal="center" vertical="center" wrapText="1"/>
    </xf>
    <xf numFmtId="0" fontId="10" fillId="27" borderId="82" xfId="0" applyFont="1" applyFill="1" applyBorder="1" applyAlignment="1">
      <alignment horizontal="center" vertical="center" wrapText="1"/>
    </xf>
    <xf numFmtId="0" fontId="10" fillId="27" borderId="59" xfId="0" applyFont="1" applyFill="1" applyBorder="1" applyAlignment="1">
      <alignment horizontal="center" vertical="center" wrapText="1"/>
    </xf>
    <xf numFmtId="0" fontId="10" fillId="27" borderId="32" xfId="0" applyFont="1" applyFill="1" applyBorder="1" applyAlignment="1">
      <alignment horizontal="center" vertical="center" wrapText="1"/>
    </xf>
    <xf numFmtId="0" fontId="10" fillId="0" borderId="77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18" fillId="0" borderId="116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117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0" fontId="17" fillId="0" borderId="77" xfId="0" applyFont="1" applyBorder="1" applyAlignment="1">
      <alignment horizontal="left" vertical="center"/>
    </xf>
    <xf numFmtId="0" fontId="17" fillId="0" borderId="48" xfId="0" applyFont="1" applyBorder="1" applyAlignment="1">
      <alignment horizontal="left" vertical="center"/>
    </xf>
    <xf numFmtId="0" fontId="17" fillId="0" borderId="46" xfId="0" applyFont="1" applyBorder="1" applyAlignment="1">
      <alignment horizontal="left" vertical="center"/>
    </xf>
    <xf numFmtId="0" fontId="10" fillId="0" borderId="77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116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0" borderId="11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10" fillId="0" borderId="116" xfId="0" applyFont="1" applyBorder="1" applyAlignment="1">
      <alignment horizontal="center" vertical="center"/>
    </xf>
  </cellXfs>
  <cellStyles count="49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백분율" xfId="29" builtinId="5"/>
    <cellStyle name="백분율 2" xfId="47" xr:uid="{00000000-0005-0000-0000-00001D000000}"/>
    <cellStyle name="보통" xfId="30" builtinId="28" customBuiltin="1"/>
    <cellStyle name="설명 텍스트" xfId="31" builtinId="53" customBuiltin="1"/>
    <cellStyle name="셀 확인" xfId="32" builtinId="23" customBuiltin="1"/>
    <cellStyle name="쉼표 [0]" xfId="33" builtinId="6"/>
    <cellStyle name="쉼표 [0] 2" xfId="48" xr:uid="{00000000-0005-0000-0000-000022000000}"/>
    <cellStyle name="연결된 셀" xfId="34" builtinId="24" customBuiltin="1"/>
    <cellStyle name="요약" xfId="35" builtinId="25" customBuiltin="1"/>
    <cellStyle name="입력" xfId="36" builtinId="20" customBuiltin="1"/>
    <cellStyle name="제목" xfId="37" builtinId="15" customBuiltin="1"/>
    <cellStyle name="제목 1" xfId="38" builtinId="16" customBuiltin="1"/>
    <cellStyle name="제목 2" xfId="39" builtinId="17" customBuiltin="1"/>
    <cellStyle name="제목 3" xfId="40" builtinId="18" customBuiltin="1"/>
    <cellStyle name="제목 4" xfId="41" builtinId="19" customBuiltin="1"/>
    <cellStyle name="좋음" xfId="42" builtinId="26" customBuiltin="1"/>
    <cellStyle name="출력" xfId="43" builtinId="21" customBuiltin="1"/>
    <cellStyle name="통화" xfId="44" builtinId="4"/>
    <cellStyle name="표준" xfId="0" builtinId="0"/>
    <cellStyle name="표준 2" xfId="46" xr:uid="{00000000-0005-0000-0000-00002F000000}"/>
    <cellStyle name="표준 5" xfId="45" xr:uid="{00000000-0005-0000-0000-000030000000}"/>
  </cellStyles>
  <dxfs count="4"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43373493975911"/>
          <c:y val="0.12080536912751674"/>
          <c:w val="0.88955823293172687"/>
          <c:h val="0.728187919463087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'5c-Life Cycle Cost (1)'!$L$14</c:f>
              <c:strCache>
                <c:ptCount val="1"/>
                <c:pt idx="0">
                  <c:v>0</c:v>
                </c:pt>
              </c:strCache>
            </c:strRef>
          </c:tx>
          <c:invertIfNegative val="0"/>
          <c:cat>
            <c:strRef>
              <c:f>'5c-Life Cycle Cost (1)'!$K$15:$K$18</c:f>
              <c:strCache>
                <c:ptCount val="4"/>
                <c:pt idx="0">
                  <c:v>초기투자비</c:v>
                </c:pt>
                <c:pt idx="1">
                  <c:v>유지관리비</c:v>
                </c:pt>
                <c:pt idx="2">
                  <c:v>해체폐기비</c:v>
                </c:pt>
                <c:pt idx="3">
                  <c:v>LCC</c:v>
                </c:pt>
              </c:strCache>
            </c:strRef>
          </c:cat>
          <c:val>
            <c:numRef>
              <c:f>'5c-Life Cycle Cost (1)'!$L$15:$L$18</c:f>
              <c:numCache>
                <c:formatCode>_(* #,##0_);_(* \(#,##0\);_(* "-"_);_(@_)</c:formatCode>
                <c:ptCount val="4"/>
                <c:pt idx="0">
                  <c:v>1490.11</c:v>
                </c:pt>
                <c:pt idx="1">
                  <c:v>306.27986244400887</c:v>
                </c:pt>
                <c:pt idx="2">
                  <c:v>0</c:v>
                </c:pt>
                <c:pt idx="3">
                  <c:v>1796.3898624440087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6-456C-A094-C0AA3ACE01CD}"/>
            </c:ext>
          </c:extLst>
        </c:ser>
        <c:ser>
          <c:idx val="1"/>
          <c:order val="1"/>
          <c:tx>
            <c:strRef>
              <c:f>'5c-Life Cycle Cost (1)'!$M$14</c:f>
              <c:strCache>
                <c:ptCount val="1"/>
                <c:pt idx="0">
                  <c:v>0</c:v>
                </c:pt>
              </c:strCache>
            </c:strRef>
          </c:tx>
          <c:invertIfNegative val="0"/>
          <c:cat>
            <c:strRef>
              <c:f>'5c-Life Cycle Cost (1)'!$K$15:$K$18</c:f>
              <c:strCache>
                <c:ptCount val="4"/>
                <c:pt idx="0">
                  <c:v>초기투자비</c:v>
                </c:pt>
                <c:pt idx="1">
                  <c:v>유지관리비</c:v>
                </c:pt>
                <c:pt idx="2">
                  <c:v>해체폐기비</c:v>
                </c:pt>
                <c:pt idx="3">
                  <c:v>LCC</c:v>
                </c:pt>
              </c:strCache>
            </c:strRef>
          </c:cat>
          <c:val>
            <c:numRef>
              <c:f>'5c-Life Cycle Cost (1)'!$M$15:$M$18</c:f>
              <c:numCache>
                <c:formatCode>_(* #,##0_);_(* \(#,##0\);_(* "-"_);_(@_)</c:formatCode>
                <c:ptCount val="4"/>
                <c:pt idx="0">
                  <c:v>1516.11</c:v>
                </c:pt>
                <c:pt idx="1">
                  <c:v>94.091153257846912</c:v>
                </c:pt>
                <c:pt idx="2">
                  <c:v>0</c:v>
                </c:pt>
                <c:pt idx="3">
                  <c:v>1610.2011532578467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86-456C-A094-C0AA3ACE01CD}"/>
            </c:ext>
          </c:extLst>
        </c:ser>
        <c:ser>
          <c:idx val="2"/>
          <c:order val="2"/>
          <c:tx>
            <c:strRef>
              <c:f>'5c-Life Cycle Cost (1)'!$N$14</c:f>
              <c:strCache>
                <c:ptCount val="1"/>
                <c:pt idx="0">
                  <c:v>0</c:v>
                </c:pt>
              </c:strCache>
            </c:strRef>
          </c:tx>
          <c:invertIfNegative val="0"/>
          <c:cat>
            <c:strRef>
              <c:f>'5c-Life Cycle Cost (1)'!$K$15:$K$18</c:f>
              <c:strCache>
                <c:ptCount val="4"/>
                <c:pt idx="0">
                  <c:v>초기투자비</c:v>
                </c:pt>
                <c:pt idx="1">
                  <c:v>유지관리비</c:v>
                </c:pt>
                <c:pt idx="2">
                  <c:v>해체폐기비</c:v>
                </c:pt>
                <c:pt idx="3">
                  <c:v>LCC</c:v>
                </c:pt>
              </c:strCache>
            </c:strRef>
          </c:cat>
          <c:val>
            <c:numRef>
              <c:f>'5c-Life Cycle Cost (1)'!$N$15:$N$18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86-456C-A094-C0AA3ACE01CD}"/>
            </c:ext>
          </c:extLst>
        </c:ser>
        <c:ser>
          <c:idx val="3"/>
          <c:order val="3"/>
          <c:tx>
            <c:strRef>
              <c:f>'5c-Life Cycle Cost (1)'!$O$14</c:f>
              <c:strCache>
                <c:ptCount val="1"/>
                <c:pt idx="0">
                  <c:v>0</c:v>
                </c:pt>
              </c:strCache>
            </c:strRef>
          </c:tx>
          <c:invertIfNegative val="0"/>
          <c:cat>
            <c:strRef>
              <c:f>'5c-Life Cycle Cost (1)'!$K$15:$K$18</c:f>
              <c:strCache>
                <c:ptCount val="4"/>
                <c:pt idx="0">
                  <c:v>초기투자비</c:v>
                </c:pt>
                <c:pt idx="1">
                  <c:v>유지관리비</c:v>
                </c:pt>
                <c:pt idx="2">
                  <c:v>해체폐기비</c:v>
                </c:pt>
                <c:pt idx="3">
                  <c:v>LCC</c:v>
                </c:pt>
              </c:strCache>
            </c:strRef>
          </c:cat>
          <c:val>
            <c:numRef>
              <c:f>'5c-Life Cycle Cost (1)'!$O$15:$O$18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86-456C-A094-C0AA3ACE0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040128"/>
        <c:axId val="105046016"/>
      </c:barChart>
      <c:catAx>
        <c:axId val="1050401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>
                <a:latin typeface="+mj-ea"/>
                <a:ea typeface="+mj-ea"/>
              </a:defRPr>
            </a:pPr>
            <a:endParaRPr lang="ko-KR"/>
          </a:p>
        </c:txPr>
        <c:crossAx val="1050460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5046016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0504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1285140562249011"/>
          <c:y val="3.5369655974211281E-2"/>
          <c:w val="0.75301204819277112"/>
          <c:h val="9.6462858250101244E-2"/>
        </c:manualLayout>
      </c:layout>
      <c:overlay val="0"/>
      <c:spPr>
        <a:solidFill>
          <a:schemeClr val="bg1"/>
        </a:solidFill>
        <a:ln w="12700">
          <a:solidFill>
            <a:srgbClr val="000000"/>
          </a:solidFill>
        </a:ln>
      </c:spPr>
      <c:txPr>
        <a:bodyPr/>
        <a:lstStyle/>
        <a:p>
          <a:pPr>
            <a:defRPr sz="1050"/>
          </a:pPr>
          <a:endParaRPr lang="ko-KR"/>
        </a:p>
      </c:txPr>
    </c:legend>
    <c:plotVisOnly val="1"/>
    <c:dispBlanksAs val="gap"/>
    <c:showDLblsOverMax val="0"/>
  </c:chart>
  <c:printSettings>
    <c:headerFooter alignWithMargins="0"/>
    <c:pageMargins b="1" l="0.75000000000000033" r="0.750000000000000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755274261603394E-2"/>
          <c:y val="0.15714285714285725"/>
          <c:w val="0.96413502109704641"/>
          <c:h val="0.68928571428571461"/>
        </c:manualLayout>
      </c:layout>
      <c:lineChart>
        <c:grouping val="standard"/>
        <c:varyColors val="0"/>
        <c:ser>
          <c:idx val="0"/>
          <c:order val="0"/>
          <c:tx>
            <c:strRef>
              <c:f>'5e-Cost Analysis'!$C$4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'5e-Cost Analysis'!$A$6:$A$10</c:f>
              <c:numCache>
                <c:formatCode>0.0%</c:formatCode>
                <c:ptCount val="5"/>
                <c:pt idx="0">
                  <c:v>3.5000000000000003E-2</c:v>
                </c:pt>
                <c:pt idx="1">
                  <c:v>4.4999999999999998E-2</c:v>
                </c:pt>
                <c:pt idx="2">
                  <c:v>5.5E-2</c:v>
                </c:pt>
                <c:pt idx="3">
                  <c:v>6.5000000000000002E-2</c:v>
                </c:pt>
                <c:pt idx="4">
                  <c:v>7.4999999999999997E-2</c:v>
                </c:pt>
              </c:numCache>
            </c:numRef>
          </c:cat>
          <c:val>
            <c:numRef>
              <c:f>'5e-Cost Analysis'!$C$6:$C$10</c:f>
              <c:numCache>
                <c:formatCode>_(* #,##0_);_(* \(#,##0\);_(* "-"_);_(@_)</c:formatCode>
                <c:ptCount val="5"/>
                <c:pt idx="0">
                  <c:v>1404.7449907375351</c:v>
                </c:pt>
                <c:pt idx="1">
                  <c:v>1114.9329738739757</c:v>
                </c:pt>
                <c:pt idx="2">
                  <c:v>919.17008558962095</c:v>
                </c:pt>
                <c:pt idx="3">
                  <c:v>780.01606253979685</c:v>
                </c:pt>
                <c:pt idx="4">
                  <c:v>676.77103930540363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2-4497-9332-25C0E46370A1}"/>
            </c:ext>
          </c:extLst>
        </c:ser>
        <c:ser>
          <c:idx val="1"/>
          <c:order val="1"/>
          <c:tx>
            <c:strRef>
              <c:f>'5e-Cost Analysis'!$D$4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'5e-Cost Analysis'!$A$6:$A$10</c:f>
              <c:numCache>
                <c:formatCode>0.0%</c:formatCode>
                <c:ptCount val="5"/>
                <c:pt idx="0">
                  <c:v>3.5000000000000003E-2</c:v>
                </c:pt>
                <c:pt idx="1">
                  <c:v>4.4999999999999998E-2</c:v>
                </c:pt>
                <c:pt idx="2">
                  <c:v>5.5E-2</c:v>
                </c:pt>
                <c:pt idx="3">
                  <c:v>6.5000000000000002E-2</c:v>
                </c:pt>
                <c:pt idx="4">
                  <c:v>7.4999999999999997E-2</c:v>
                </c:pt>
              </c:numCache>
            </c:numRef>
          </c:cat>
          <c:val>
            <c:numRef>
              <c:f>'5e-Cost Analysis'!$D$6:$D$10</c:f>
              <c:numCache>
                <c:formatCode>_(* #,##0_);_(* \(#,##0\);_(* "-"_);_(@_)</c:formatCode>
                <c:ptCount val="5"/>
                <c:pt idx="0">
                  <c:v>1463.2760320182656</c:v>
                </c:pt>
                <c:pt idx="1">
                  <c:v>1161.388514452058</c:v>
                </c:pt>
                <c:pt idx="2">
                  <c:v>957.46883915585499</c:v>
                </c:pt>
                <c:pt idx="3">
                  <c:v>812.5167318122883</c:v>
                </c:pt>
                <c:pt idx="4">
                  <c:v>704.96983260979539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22-4497-9332-25C0E46370A1}"/>
            </c:ext>
          </c:extLst>
        </c:ser>
        <c:ser>
          <c:idx val="2"/>
          <c:order val="2"/>
          <c:tx>
            <c:strRef>
              <c:f>'5e-Cost Analysis'!$E$4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'5e-Cost Analysis'!$A$6:$A$10</c:f>
              <c:numCache>
                <c:formatCode>0.0%</c:formatCode>
                <c:ptCount val="5"/>
                <c:pt idx="0">
                  <c:v>3.5000000000000003E-2</c:v>
                </c:pt>
                <c:pt idx="1">
                  <c:v>4.4999999999999998E-2</c:v>
                </c:pt>
                <c:pt idx="2">
                  <c:v>5.5E-2</c:v>
                </c:pt>
                <c:pt idx="3">
                  <c:v>6.5000000000000002E-2</c:v>
                </c:pt>
                <c:pt idx="4">
                  <c:v>7.4999999999999997E-2</c:v>
                </c:pt>
              </c:numCache>
            </c:numRef>
          </c:cat>
          <c:val>
            <c:numRef>
              <c:f>'5e-Cost Analysis'!$E$6:$E$10</c:f>
              <c:numCache>
                <c:formatCode>_(* #,##0_);_(* \(#,##0\);_(* "-"_);_(@_)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22-4497-9332-25C0E46370A1}"/>
            </c:ext>
          </c:extLst>
        </c:ser>
        <c:ser>
          <c:idx val="3"/>
          <c:order val="3"/>
          <c:tx>
            <c:strRef>
              <c:f>'5e-Cost Analysis'!$F$4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'5e-Cost Analysis'!$A$6:$A$10</c:f>
              <c:numCache>
                <c:formatCode>0.0%</c:formatCode>
                <c:ptCount val="5"/>
                <c:pt idx="0">
                  <c:v>3.5000000000000003E-2</c:v>
                </c:pt>
                <c:pt idx="1">
                  <c:v>4.4999999999999998E-2</c:v>
                </c:pt>
                <c:pt idx="2">
                  <c:v>5.5E-2</c:v>
                </c:pt>
                <c:pt idx="3">
                  <c:v>6.5000000000000002E-2</c:v>
                </c:pt>
                <c:pt idx="4">
                  <c:v>7.4999999999999997E-2</c:v>
                </c:pt>
              </c:numCache>
            </c:numRef>
          </c:cat>
          <c:val>
            <c:numRef>
              <c:f>'5e-Cost Analysis'!$F$6:$F$10</c:f>
              <c:numCache>
                <c:formatCode>_(* #,##0_);_(* \(#,##0\);_(* "-"_);_(@_)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22-4497-9332-25C0E4637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986880"/>
        <c:axId val="107000960"/>
      </c:lineChart>
      <c:catAx>
        <c:axId val="106986880"/>
        <c:scaling>
          <c:orientation val="minMax"/>
        </c:scaling>
        <c:delete val="0"/>
        <c:axPos val="b"/>
        <c:numFmt formatCode="0.0%" sourceLinked="1"/>
        <c:majorTickMark val="out"/>
        <c:minorTickMark val="none"/>
        <c:tickLblPos val="nextTo"/>
        <c:crossAx val="107000960"/>
        <c:crosses val="autoZero"/>
        <c:auto val="1"/>
        <c:lblAlgn val="ctr"/>
        <c:lblOffset val="100"/>
        <c:noMultiLvlLbl val="0"/>
      </c:catAx>
      <c:valAx>
        <c:axId val="107000960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crossAx val="10698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1874990309755596"/>
          <c:y val="1.9480689913760795E-2"/>
          <c:w val="0.73632811721319691"/>
          <c:h val="9.0909261342332209E-2"/>
        </c:manualLayout>
      </c:layout>
      <c:overlay val="0"/>
      <c:spPr>
        <a:solidFill>
          <a:schemeClr val="lt1"/>
        </a:solidFill>
        <a:ln w="12700">
          <a:solidFill>
            <a:schemeClr val="lt1">
              <a:shade val="50000"/>
            </a:schemeClr>
          </a:solidFill>
        </a:ln>
      </c:spPr>
    </c:legend>
    <c:plotVisOnly val="1"/>
    <c:dispBlanksAs val="gap"/>
    <c:showDLblsOverMax val="0"/>
  </c:chart>
  <c:txPr>
    <a:bodyPr/>
    <a:lstStyle/>
    <a:p>
      <a:pPr>
        <a:defRPr sz="1100">
          <a:latin typeface="Times New Roman" pitchFamily="18" charset="0"/>
          <a:ea typeface="HY울릉도L" pitchFamily="18" charset="-127"/>
          <a:cs typeface="Times New Roman" pitchFamily="18" charset="0"/>
        </a:defRPr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9915326564286118E-2"/>
          <c:y val="4.2857217594199234E-2"/>
          <c:w val="0.92584841541191043"/>
          <c:h val="0.78928709069316871"/>
        </c:manualLayout>
      </c:layout>
      <c:lineChart>
        <c:grouping val="standard"/>
        <c:varyColors val="0"/>
        <c:ser>
          <c:idx val="0"/>
          <c:order val="0"/>
          <c:tx>
            <c:strRef>
              <c:f>'5e-Cost Analysis'!$J$4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'5e-Cost Analysis'!$H$6:$H$10</c:f>
              <c:numCache>
                <c:formatCode>#\ "년"</c:formatCode>
                <c:ptCount val="5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</c:numCache>
            </c:numRef>
          </c:cat>
          <c:val>
            <c:numRef>
              <c:f>'5e-Cost Analysis'!$J$6:$J$10</c:f>
              <c:numCache>
                <c:formatCode>_(* #,##0_);_(* \(#,##0\);_(* "-"_);_(@_)</c:formatCode>
                <c:ptCount val="5"/>
                <c:pt idx="0">
                  <c:v>916.07743855311162</c:v>
                </c:pt>
                <c:pt idx="1">
                  <c:v>917.82951313586489</c:v>
                </c:pt>
                <c:pt idx="2">
                  <c:v>919.17008558962095</c:v>
                </c:pt>
                <c:pt idx="3">
                  <c:v>920.19580362780255</c:v>
                </c:pt>
                <c:pt idx="4">
                  <c:v>920.98061573616963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B-4587-9412-2CEEE121BF74}"/>
            </c:ext>
          </c:extLst>
        </c:ser>
        <c:ser>
          <c:idx val="1"/>
          <c:order val="1"/>
          <c:tx>
            <c:strRef>
              <c:f>'5e-Cost Analysis'!$K$4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'5e-Cost Analysis'!$H$6:$H$10</c:f>
              <c:numCache>
                <c:formatCode>#\ "년"</c:formatCode>
                <c:ptCount val="5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</c:numCache>
            </c:numRef>
          </c:cat>
          <c:val>
            <c:numRef>
              <c:f>'5e-Cost Analysis'!$K$6:$K$10</c:f>
              <c:numCache>
                <c:formatCode>_(* #,##0_);_(* \(#,##0\);_(* "-"_);_(@_)</c:formatCode>
                <c:ptCount val="5"/>
                <c:pt idx="0">
                  <c:v>954.24733182615785</c:v>
                </c:pt>
                <c:pt idx="1">
                  <c:v>956.07240951652579</c:v>
                </c:pt>
                <c:pt idx="2">
                  <c:v>957.46883915585499</c:v>
                </c:pt>
                <c:pt idx="3">
                  <c:v>958.53729544562759</c:v>
                </c:pt>
                <c:pt idx="4">
                  <c:v>959.35480805851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AB-4587-9412-2CEEE121BF74}"/>
            </c:ext>
          </c:extLst>
        </c:ser>
        <c:ser>
          <c:idx val="2"/>
          <c:order val="2"/>
          <c:tx>
            <c:strRef>
              <c:f>'5e-Cost Analysis'!$L$4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'5e-Cost Analysis'!$H$6:$H$10</c:f>
              <c:numCache>
                <c:formatCode>#\ "년"</c:formatCode>
                <c:ptCount val="5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</c:numCache>
            </c:numRef>
          </c:cat>
          <c:val>
            <c:numRef>
              <c:f>'5e-Cost Analysis'!$L$6:$L$10</c:f>
              <c:numCache>
                <c:formatCode>_(* #,##0_);_(* \(#,##0\);_(* "-"_);_(@_)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AB-4587-9412-2CEEE121BF74}"/>
            </c:ext>
          </c:extLst>
        </c:ser>
        <c:ser>
          <c:idx val="3"/>
          <c:order val="3"/>
          <c:tx>
            <c:strRef>
              <c:f>'5e-Cost Analysis'!$M$4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'5e-Cost Analysis'!$H$6:$H$10</c:f>
              <c:numCache>
                <c:formatCode>#\ "년"</c:formatCode>
                <c:ptCount val="5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</c:numCache>
            </c:numRef>
          </c:cat>
          <c:val>
            <c:numRef>
              <c:f>'5e-Cost Analysis'!$M$6:$M$10</c:f>
              <c:numCache>
                <c:formatCode>_(* #,##0_);_(* \(#,##0\);_(* "-"_);_(@_)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AB-4587-9412-2CEEE121B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37440"/>
        <c:axId val="107038976"/>
      </c:lineChart>
      <c:catAx>
        <c:axId val="107037440"/>
        <c:scaling>
          <c:orientation val="minMax"/>
        </c:scaling>
        <c:delete val="0"/>
        <c:axPos val="b"/>
        <c:numFmt formatCode="#\ &quot;년&quot;" sourceLinked="1"/>
        <c:majorTickMark val="out"/>
        <c:minorTickMark val="none"/>
        <c:tickLblPos val="nextTo"/>
        <c:crossAx val="107038976"/>
        <c:crosses val="autoZero"/>
        <c:auto val="1"/>
        <c:lblAlgn val="ctr"/>
        <c:lblOffset val="100"/>
        <c:noMultiLvlLbl val="0"/>
      </c:catAx>
      <c:valAx>
        <c:axId val="107038976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crossAx val="107037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8333333333333346"/>
          <c:y val="1.6233595800524935E-2"/>
          <c:w val="0.77291672227412256"/>
          <c:h val="9.0908886389201346E-2"/>
        </c:manualLayout>
      </c:layout>
      <c:overlay val="0"/>
      <c:spPr>
        <a:solidFill>
          <a:sysClr val="window" lastClr="FFFFFF"/>
        </a:solidFill>
        <a:ln w="12700">
          <a:solidFill>
            <a:sysClr val="window" lastClr="FFFFFF">
              <a:shade val="50000"/>
            </a:sysClr>
          </a:solidFill>
        </a:ln>
      </c:spPr>
    </c:legend>
    <c:plotVisOnly val="1"/>
    <c:dispBlanksAs val="gap"/>
    <c:showDLblsOverMax val="0"/>
  </c:chart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13778705636751"/>
          <c:y val="0.13725533999482994"/>
          <c:w val="0.73695198329853895"/>
          <c:h val="0.7581723542571559"/>
        </c:manualLayout>
      </c:layout>
      <c:barChart>
        <c:barDir val="col"/>
        <c:grouping val="clustered"/>
        <c:varyColors val="0"/>
        <c:ser>
          <c:idx val="1"/>
          <c:order val="0"/>
          <c:tx>
            <c:v>성능(P)</c:v>
          </c:tx>
          <c:spPr>
            <a:solidFill>
              <a:schemeClr val="accent3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'6b-Value Matrix'!$P$41:$P$43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Matrix'!$R$41:$R$43</c:f>
              <c:numCache>
                <c:formatCode>#,##0.0_);[Red]\(#,##0.0\)</c:formatCode>
                <c:ptCount val="3"/>
                <c:pt idx="0">
                  <c:v>100</c:v>
                </c:pt>
                <c:pt idx="1">
                  <c:v>115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C-49BE-AA41-83C01D4D5A17}"/>
            </c:ext>
          </c:extLst>
        </c:ser>
        <c:ser>
          <c:idx val="0"/>
          <c:order val="1"/>
          <c:tx>
            <c:v>가치(V)</c:v>
          </c:tx>
          <c:spPr>
            <a:solidFill>
              <a:schemeClr val="accent6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'6b-Value Matrix'!$P$41:$P$43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Matrix'!$S$41:$S$43</c:f>
              <c:numCache>
                <c:formatCode>#,##0.0_);[Red]\(#,##0.0\)</c:formatCode>
                <c:ptCount val="3"/>
                <c:pt idx="0">
                  <c:v>89.605734767025083</c:v>
                </c:pt>
                <c:pt idx="1">
                  <c:v>115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C-49BE-AA41-83C01D4D5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974144"/>
        <c:axId val="119980032"/>
      </c:barChart>
      <c:lineChart>
        <c:grouping val="standard"/>
        <c:varyColors val="0"/>
        <c:ser>
          <c:idx val="2"/>
          <c:order val="2"/>
          <c:tx>
            <c:v>비용(C)</c:v>
          </c:tx>
          <c:spPr>
            <a:ln w="12700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triangle"/>
            <c:size val="8"/>
            <c: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c:spPr>
          </c:marker>
          <c:val>
            <c:numRef>
              <c:f>'6b-Value Matrix'!$Q$41:$Q$43</c:f>
              <c:numCache>
                <c:formatCode>#,##0.000_);[Red]\(#,##0.000\)</c:formatCode>
                <c:ptCount val="3"/>
                <c:pt idx="0">
                  <c:v>1</c:v>
                </c:pt>
                <c:pt idx="1">
                  <c:v>0.89635395240270943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1C-49BE-AA41-83C01D4D5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81952"/>
        <c:axId val="119983488"/>
      </c:lineChart>
      <c:catAx>
        <c:axId val="1199741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11998003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9980032"/>
        <c:scaling>
          <c:orientation val="minMax"/>
          <c:max val="10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점수</a:t>
                </a:r>
                <a:r>
                  <a:rPr lang="en-US"/>
                  <a:t>(P,V)</a:t>
                </a:r>
              </a:p>
            </c:rich>
          </c:tx>
          <c:layout>
            <c:manualLayout>
              <c:xMode val="edge"/>
              <c:yMode val="edge"/>
              <c:x val="1.2526178510430487E-2"/>
              <c:y val="0.4575177144390498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119974144"/>
        <c:crosses val="autoZero"/>
        <c:crossBetween val="between"/>
        <c:majorUnit val="20"/>
      </c:valAx>
      <c:catAx>
        <c:axId val="119981952"/>
        <c:scaling>
          <c:orientation val="minMax"/>
        </c:scaling>
        <c:delete val="1"/>
        <c:axPos val="b"/>
        <c:majorTickMark val="out"/>
        <c:minorTickMark val="none"/>
        <c:tickLblPos val="none"/>
        <c:crossAx val="119983488"/>
        <c:crosses val="autoZero"/>
        <c:auto val="0"/>
        <c:lblAlgn val="ctr"/>
        <c:lblOffset val="100"/>
        <c:noMultiLvlLbl val="0"/>
      </c:catAx>
      <c:valAx>
        <c:axId val="119983488"/>
        <c:scaling>
          <c:orientation val="minMax"/>
          <c:max val="2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ko-KR" altLang="en-US"/>
                  <a:t>비용</a:t>
                </a:r>
                <a:r>
                  <a:rPr lang="en-US" altLang="ko-KR"/>
                  <a:t>(C)</a:t>
                </a:r>
                <a:endParaRPr lang="ko-KR" altLang="en-US"/>
              </a:p>
            </c:rich>
          </c:tx>
          <c:overlay val="0"/>
        </c:title>
        <c:numFmt formatCode="#,##0.0;[Red]\-#,##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119981952"/>
        <c:crosses val="max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2250058659507485"/>
          <c:y val="2.3820281250786137E-2"/>
          <c:w val="0.59081419396380042"/>
          <c:h val="6.862753976839156E-2"/>
        </c:manualLayout>
      </c:layout>
      <c:overlay val="0"/>
      <c:spPr>
        <a:solidFill>
          <a:srgbClr val="FFFFFF"/>
        </a:solidFill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 pitchFamily="18" charset="0"/>
          <a:ea typeface="-소망L" pitchFamily="18" charset="-127"/>
          <a:cs typeface="Times New Roman" pitchFamily="18" charset="0"/>
        </a:defRPr>
      </a:pPr>
      <a:endParaRPr lang="ko-KR"/>
    </a:p>
  </c:txPr>
  <c:printSettings>
    <c:headerFooter alignWithMargins="0"/>
    <c:pageMargins b="1" l="0.75000000000000033" r="0.75000000000000033" t="1" header="0.5" footer="0.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010262467191575"/>
          <c:y val="0.17233476600250927"/>
          <c:w val="0.5006474190726159"/>
          <c:h val="0.66196719447591668"/>
        </c:manualLayout>
      </c:layout>
      <c:radarChart>
        <c:radarStyle val="filled"/>
        <c:varyColors val="0"/>
        <c:ser>
          <c:idx val="0"/>
          <c:order val="0"/>
          <c:spPr>
            <a:solidFill>
              <a:sysClr val="windowText" lastClr="000000">
                <a:lumMod val="75000"/>
                <a:lumOff val="25000"/>
                <a:alpha val="40000"/>
              </a:sysClr>
            </a:solidFill>
            <a:ln w="19050">
              <a:solidFill>
                <a:sysClr val="windowText" lastClr="000000">
                  <a:lumMod val="50000"/>
                  <a:lumOff val="50000"/>
                </a:sysClr>
              </a:solidFill>
            </a:ln>
          </c:spPr>
          <c:cat>
            <c:strRef>
              <c:f>'6b-Value Matrix'!$W$7:$W$14</c:f>
              <c:strCache>
                <c:ptCount val="8"/>
                <c:pt idx="0">
                  <c:v>시공성</c:v>
                </c:pt>
                <c:pt idx="1">
                  <c:v>유지관리성</c:v>
                </c:pt>
                <c:pt idx="2">
                  <c:v>내구성</c:v>
                </c:pt>
                <c:pt idx="3">
                  <c:v>이용편의성</c:v>
                </c:pt>
                <c:pt idx="4">
                  <c:v>친환경성</c:v>
                </c:pt>
                <c:pt idx="5">
                  <c:v>배수성</c:v>
                </c:pt>
                <c:pt idx="6">
                  <c:v>교통안전성</c:v>
                </c:pt>
                <c:pt idx="7">
                  <c:v>민원성</c:v>
                </c:pt>
              </c:strCache>
            </c:strRef>
          </c:cat>
          <c:val>
            <c:numRef>
              <c:f>'6b-Value Matrix'!$AA$7:$AA$14</c:f>
              <c:numCache>
                <c:formatCode>0.0_);[Red]\(0.0\)</c:formatCode>
                <c:ptCount val="8"/>
                <c:pt idx="0">
                  <c:v>16.3</c:v>
                </c:pt>
                <c:pt idx="1">
                  <c:v>14.200000000000001</c:v>
                </c:pt>
                <c:pt idx="2">
                  <c:v>12.9</c:v>
                </c:pt>
                <c:pt idx="3">
                  <c:v>11.700000000000001</c:v>
                </c:pt>
                <c:pt idx="4">
                  <c:v>9.8000000000000007</c:v>
                </c:pt>
                <c:pt idx="5">
                  <c:v>10.9</c:v>
                </c:pt>
                <c:pt idx="6">
                  <c:v>11.799999999999999</c:v>
                </c:pt>
                <c:pt idx="7">
                  <c:v>12.4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9-4992-BA7F-262329FC7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12160"/>
        <c:axId val="120018048"/>
      </c:radarChart>
      <c:catAx>
        <c:axId val="12001216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 b="0" spc="-100" baseline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018048"/>
        <c:crosses val="autoZero"/>
        <c:auto val="1"/>
        <c:lblAlgn val="ctr"/>
        <c:lblOffset val="100"/>
        <c:noMultiLvlLbl val="0"/>
      </c:catAx>
      <c:valAx>
        <c:axId val="120018048"/>
        <c:scaling>
          <c:orientation val="minMax"/>
          <c:max val="25"/>
          <c:min val="-5"/>
        </c:scaling>
        <c:delete val="0"/>
        <c:axPos val="l"/>
        <c:majorGridlines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 b="0"/>
            </a:pPr>
            <a:endParaRPr lang="ko-KR"/>
          </a:p>
        </c:txPr>
        <c:crossAx val="120012160"/>
        <c:crosses val="autoZero"/>
        <c:crossBetween val="between"/>
        <c:majorUnit val="5"/>
        <c:minorUnit val="0.4"/>
      </c:valAx>
    </c:plotArea>
    <c:plotVisOnly val="1"/>
    <c:dispBlanksAs val="gap"/>
    <c:showDLblsOverMax val="0"/>
  </c:chart>
  <c:printSettings>
    <c:headerFooter/>
    <c:pageMargins b="0.75000000000001188" l="0.70000000000000062" r="0.70000000000000062" t="0.750000000000011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010262467191575"/>
          <c:y val="0.17233476600250927"/>
          <c:w val="0.5006474190726159"/>
          <c:h val="0.66196719447591668"/>
        </c:manualLayout>
      </c:layout>
      <c:radarChart>
        <c:radarStyle val="filled"/>
        <c:varyColors val="0"/>
        <c:ser>
          <c:idx val="0"/>
          <c:order val="0"/>
          <c:spPr>
            <a:solidFill>
              <a:sysClr val="windowText" lastClr="000000">
                <a:lumMod val="75000"/>
                <a:lumOff val="25000"/>
                <a:alpha val="40000"/>
              </a:sysClr>
            </a:solidFill>
            <a:ln w="19050">
              <a:solidFill>
                <a:sysClr val="windowText" lastClr="000000">
                  <a:lumMod val="50000"/>
                  <a:lumOff val="50000"/>
                </a:sysClr>
              </a:solidFill>
            </a:ln>
          </c:spPr>
          <c:cat>
            <c:strRef>
              <c:f>'6b-Value Matrix'!$W$7:$W$14</c:f>
              <c:strCache>
                <c:ptCount val="8"/>
                <c:pt idx="0">
                  <c:v>시공성</c:v>
                </c:pt>
                <c:pt idx="1">
                  <c:v>유지관리성</c:v>
                </c:pt>
                <c:pt idx="2">
                  <c:v>내구성</c:v>
                </c:pt>
                <c:pt idx="3">
                  <c:v>이용편의성</c:v>
                </c:pt>
                <c:pt idx="4">
                  <c:v>친환경성</c:v>
                </c:pt>
                <c:pt idx="5">
                  <c:v>배수성</c:v>
                </c:pt>
                <c:pt idx="6">
                  <c:v>교통안전성</c:v>
                </c:pt>
                <c:pt idx="7">
                  <c:v>민원성</c:v>
                </c:pt>
              </c:strCache>
            </c:strRef>
          </c:cat>
          <c:val>
            <c:numRef>
              <c:f>'6b-Value Matrix'!$AD$7:$AD$14</c:f>
              <c:numCache>
                <c:formatCode>0.0_);[Red]\(0.0\)</c:formatCode>
                <c:ptCount val="8"/>
                <c:pt idx="0">
                  <c:v>13.040000000000001</c:v>
                </c:pt>
                <c:pt idx="1">
                  <c:v>17.04</c:v>
                </c:pt>
                <c:pt idx="2">
                  <c:v>25.8</c:v>
                </c:pt>
                <c:pt idx="3">
                  <c:v>11.700000000000001</c:v>
                </c:pt>
                <c:pt idx="4">
                  <c:v>9.8000000000000007</c:v>
                </c:pt>
                <c:pt idx="5">
                  <c:v>10.9</c:v>
                </c:pt>
                <c:pt idx="6">
                  <c:v>11.799999999999999</c:v>
                </c:pt>
                <c:pt idx="7">
                  <c:v>14.880000000000003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4-4840-9043-9977C53D7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2848"/>
        <c:axId val="120224384"/>
      </c:radarChart>
      <c:catAx>
        <c:axId val="12022284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 b="0" spc="-100" baseline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224384"/>
        <c:crosses val="autoZero"/>
        <c:auto val="1"/>
        <c:lblAlgn val="ctr"/>
        <c:lblOffset val="100"/>
        <c:noMultiLvlLbl val="0"/>
      </c:catAx>
      <c:valAx>
        <c:axId val="120224384"/>
        <c:scaling>
          <c:orientation val="minMax"/>
          <c:max val="25"/>
          <c:min val="-5"/>
        </c:scaling>
        <c:delete val="0"/>
        <c:axPos val="l"/>
        <c:majorGridlines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ko-KR"/>
          </a:p>
        </c:txPr>
        <c:crossAx val="120222848"/>
        <c:crosses val="autoZero"/>
        <c:crossBetween val="between"/>
        <c:majorUnit val="5"/>
        <c:minorUnit val="0.4"/>
      </c:valAx>
    </c:plotArea>
    <c:plotVisOnly val="1"/>
    <c:dispBlanksAs val="gap"/>
    <c:showDLblsOverMax val="0"/>
  </c:chart>
  <c:printSettings>
    <c:headerFooter/>
    <c:pageMargins b="0.75000000000001188" l="0.70000000000000062" r="0.70000000000000062" t="0.750000000000011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95126622685678"/>
          <c:y val="0.22925634547471221"/>
          <c:w val="0.82106714785651758"/>
          <c:h val="0.610246102450287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'6b-Value Matrix'!$AL$7</c:f>
              <c:strCache>
                <c:ptCount val="1"/>
                <c:pt idx="0">
                  <c:v>시공성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strRef>
              <c:f>'6b-Value Matrix'!$AM$6:$AN$6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Matrix'!$AM$7:$AN$7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2-4462-9CE8-2FB5D5EDFE58}"/>
            </c:ext>
          </c:extLst>
        </c:ser>
        <c:ser>
          <c:idx val="1"/>
          <c:order val="1"/>
          <c:tx>
            <c:strRef>
              <c:f>'6b-Value Matrix'!$AL$8</c:f>
              <c:strCache>
                <c:ptCount val="1"/>
                <c:pt idx="0">
                  <c:v>유지관리성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strRef>
              <c:f>'6b-Value Matrix'!$AM$6:$AN$6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Matrix'!$AM$8:$AN$8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2-4462-9CE8-2FB5D5EDFE58}"/>
            </c:ext>
          </c:extLst>
        </c:ser>
        <c:ser>
          <c:idx val="2"/>
          <c:order val="2"/>
          <c:tx>
            <c:strRef>
              <c:f>'6b-Value Matrix'!$AL$9</c:f>
              <c:strCache>
                <c:ptCount val="1"/>
                <c:pt idx="0">
                  <c:v>내구성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strRef>
              <c:f>'6b-Value Matrix'!$AM$6:$AN$6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Matrix'!$AM$9:$AN$9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2-4462-9CE8-2FB5D5EDFE58}"/>
            </c:ext>
          </c:extLst>
        </c:ser>
        <c:ser>
          <c:idx val="3"/>
          <c:order val="3"/>
          <c:tx>
            <c:strRef>
              <c:f>'6b-Value Matrix'!$AL$10</c:f>
              <c:strCache>
                <c:ptCount val="1"/>
                <c:pt idx="0">
                  <c:v>이용편의성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strRef>
              <c:f>'6b-Value Matrix'!$AM$6:$AN$6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Matrix'!$AM$10:$AN$10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A2-4462-9CE8-2FB5D5EDFE58}"/>
            </c:ext>
          </c:extLst>
        </c:ser>
        <c:ser>
          <c:idx val="4"/>
          <c:order val="4"/>
          <c:tx>
            <c:strRef>
              <c:f>'6b-Value Matrix'!$AL$11</c:f>
              <c:strCache>
                <c:ptCount val="1"/>
                <c:pt idx="0">
                  <c:v>친환경성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strRef>
              <c:f>'6b-Value Matrix'!$AM$6:$AN$6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Matrix'!$AM$11:$AN$11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A2-4462-9CE8-2FB5D5EDFE58}"/>
            </c:ext>
          </c:extLst>
        </c:ser>
        <c:ser>
          <c:idx val="5"/>
          <c:order val="5"/>
          <c:tx>
            <c:strRef>
              <c:f>'6b-Value Matrix'!$AL$12</c:f>
              <c:strCache>
                <c:ptCount val="1"/>
                <c:pt idx="0">
                  <c:v>배수성</c:v>
                </c:pt>
              </c:strCache>
            </c:strRef>
          </c:tx>
          <c:spPr>
            <a:solidFill>
              <a:srgbClr val="626262"/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strRef>
              <c:f>'6b-Value Matrix'!$AM$6:$AN$6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Matrix'!$AM$12:$AN$12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A2-4462-9CE8-2FB5D5EDFE58}"/>
            </c:ext>
          </c:extLst>
        </c:ser>
        <c:ser>
          <c:idx val="6"/>
          <c:order val="6"/>
          <c:tx>
            <c:strRef>
              <c:f>'6b-Value Matrix'!$AL$13</c:f>
              <c:strCache>
                <c:ptCount val="1"/>
                <c:pt idx="0">
                  <c:v>교통안전성</c:v>
                </c:pt>
              </c:strCache>
            </c:strRef>
          </c:tx>
          <c:spPr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strRef>
              <c:f>'6b-Value Matrix'!$AM$6:$AN$6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Matrix'!$AM$13:$AN$13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A2-4462-9CE8-2FB5D5EDFE58}"/>
            </c:ext>
          </c:extLst>
        </c:ser>
        <c:ser>
          <c:idx val="7"/>
          <c:order val="7"/>
          <c:tx>
            <c:strRef>
              <c:f>'6b-Value Matrix'!$AL$14</c:f>
              <c:strCache>
                <c:ptCount val="1"/>
                <c:pt idx="0">
                  <c:v>민원성</c:v>
                </c:pt>
              </c:strCache>
            </c:strRef>
          </c:tx>
          <c:spPr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strRef>
              <c:f>'6b-Value Matrix'!$AM$6:$AN$6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Matrix'!$AM$14:$AN$14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CA2-4462-9CE8-2FB5D5EDF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326400"/>
        <c:axId val="120340480"/>
      </c:barChart>
      <c:catAx>
        <c:axId val="120326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anchor="t" anchorCtr="1"/>
          <a:lstStyle/>
          <a:p>
            <a:pPr>
              <a:defRPr sz="1300" b="0" i="0" spc="-100" baseline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340480"/>
        <c:crosses val="autoZero"/>
        <c:auto val="1"/>
        <c:lblAlgn val="ctr"/>
        <c:lblOffset val="100"/>
        <c:noMultiLvlLbl val="0"/>
      </c:catAx>
      <c:valAx>
        <c:axId val="120340480"/>
        <c:scaling>
          <c:orientation val="minMax"/>
          <c:max val="10"/>
        </c:scaling>
        <c:delete val="0"/>
        <c:axPos val="l"/>
        <c:majorGridlines>
          <c:spPr>
            <a:ln w="6350">
              <a:solidFill>
                <a:schemeClr val="tx1">
                  <a:lumMod val="75000"/>
                  <a:lumOff val="2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300" b="0"/>
                </a:pPr>
                <a:r>
                  <a:rPr lang="ko-KR" altLang="en-US" sz="1300" b="0">
                    <a:latin typeface="+mn-ea"/>
                    <a:ea typeface="+mn-ea"/>
                  </a:rPr>
                  <a:t>성능등급</a:t>
                </a:r>
                <a:r>
                  <a:rPr lang="en-US" altLang="ko-KR" sz="1300" b="0">
                    <a:latin typeface="+mn-ea"/>
                    <a:ea typeface="+mn-ea"/>
                  </a:rPr>
                  <a:t>(</a:t>
                </a:r>
                <a:r>
                  <a:rPr lang="ko-KR" altLang="en-US" sz="1300" b="0">
                    <a:latin typeface="+mn-ea"/>
                    <a:ea typeface="+mn-ea"/>
                  </a:rPr>
                  <a:t>점수</a:t>
                </a:r>
                <a:r>
                  <a:rPr lang="en-US" altLang="ko-KR" sz="1300" b="0">
                    <a:latin typeface="+mn-ea"/>
                    <a:ea typeface="+mn-ea"/>
                  </a:rPr>
                  <a:t>)</a:t>
                </a:r>
                <a:endParaRPr lang="ko-KR" altLang="en-US" sz="1300" b="0">
                  <a:latin typeface="+mn-ea"/>
                  <a:ea typeface="+mn-ea"/>
                </a:endParaRPr>
              </a:p>
            </c:rich>
          </c:tx>
          <c:layout>
            <c:manualLayout>
              <c:xMode val="edge"/>
              <c:yMode val="edge"/>
              <c:x val="1.2145669291338866E-2"/>
              <c:y val="0.30441828104821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ysClr val="windowText" lastClr="000000">
                <a:lumMod val="50000"/>
                <a:lumOff val="50000"/>
              </a:sysClr>
            </a:solidFill>
            <a:prstDash val="solid"/>
          </a:ln>
        </c:spPr>
        <c:txPr>
          <a:bodyPr/>
          <a:lstStyle/>
          <a:p>
            <a:pPr>
              <a:defRPr sz="1100" b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326400"/>
        <c:crosses val="autoZero"/>
        <c:crossBetween val="between"/>
        <c:majorUnit val="2"/>
        <c:minorUnit val="0.2"/>
      </c:valAx>
      <c:spPr>
        <a:ln w="12700"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14448342605823103"/>
          <c:y val="3.00186784846267E-2"/>
          <c:w val="0.82609052760047785"/>
          <c:h val="0.16958542032119717"/>
        </c:manualLayout>
      </c:layout>
      <c:overlay val="0"/>
      <c:spPr>
        <a:ln w="19050">
          <a:solidFill>
            <a:schemeClr val="tx1">
              <a:lumMod val="50000"/>
              <a:lumOff val="50000"/>
            </a:schemeClr>
          </a:solidFill>
        </a:ln>
      </c:spPr>
      <c:txPr>
        <a:bodyPr/>
        <a:lstStyle/>
        <a:p>
          <a:pPr>
            <a:defRPr sz="1200" b="0" kern="0" spc="0" normalizeH="0" baseline="0">
              <a:latin typeface="-윤고딕130" pitchFamily="18" charset="-127"/>
              <a:ea typeface="-윤고딕130" pitchFamily="18" charset="-127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000000000001177" l="0.70000000000000062" r="0.70000000000000062" t="0.75000000000001177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19148777951891"/>
          <c:y val="0.18952630921134891"/>
          <c:w val="0.77892420672961071"/>
          <c:h val="0.650120734908151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'6b-Value Matrix'!$AL$18</c:f>
              <c:strCache>
                <c:ptCount val="1"/>
                <c:pt idx="0">
                  <c:v>초기공사비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strRef>
              <c:f>'6b-Value Matrix'!$AM$17:$AN$17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Matrix'!$AM$18:$AN$18</c:f>
              <c:numCache>
                <c:formatCode>#,##0_ </c:formatCode>
                <c:ptCount val="2"/>
                <c:pt idx="0">
                  <c:v>1490.11</c:v>
                </c:pt>
                <c:pt idx="1">
                  <c:v>1516.11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7-4BAC-8D0C-C82D805F5141}"/>
            </c:ext>
          </c:extLst>
        </c:ser>
        <c:ser>
          <c:idx val="1"/>
          <c:order val="1"/>
          <c:tx>
            <c:strRef>
              <c:f>'6b-Value Matrix'!$AL$19</c:f>
              <c:strCache>
                <c:ptCount val="1"/>
                <c:pt idx="0">
                  <c:v>유지관리비</c:v>
                </c:pt>
              </c:strCache>
            </c:strRef>
          </c:tx>
          <c:spPr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strRef>
              <c:f>'6b-Value Matrix'!$AM$17:$AN$17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Matrix'!$AM$19:$AN$19</c:f>
              <c:numCache>
                <c:formatCode>#,##0_ </c:formatCode>
                <c:ptCount val="2"/>
                <c:pt idx="0">
                  <c:v>306.27986244400887</c:v>
                </c:pt>
                <c:pt idx="1">
                  <c:v>94.091153257846912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7-4BAC-8D0C-C82D805F5141}"/>
            </c:ext>
          </c:extLst>
        </c:ser>
        <c:ser>
          <c:idx val="2"/>
          <c:order val="2"/>
          <c:tx>
            <c:strRef>
              <c:f>'6b-Value Matrix'!$AL$20</c:f>
              <c:strCache>
                <c:ptCount val="1"/>
                <c:pt idx="0">
                  <c:v>LCC</c:v>
                </c:pt>
              </c:strCache>
            </c:strRef>
          </c:tx>
          <c:spPr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strRef>
              <c:f>'6b-Value Matrix'!$AM$17:$AN$17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Matrix'!$AM$20:$AN$20</c:f>
              <c:numCache>
                <c:formatCode>#,##0_ </c:formatCode>
                <c:ptCount val="2"/>
                <c:pt idx="0">
                  <c:v>1796.3898624440087</c:v>
                </c:pt>
                <c:pt idx="1">
                  <c:v>1610.2011532578467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67-4BAC-8D0C-C82D805F5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367744"/>
        <c:axId val="120402304"/>
      </c:barChart>
      <c:catAx>
        <c:axId val="1203677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300" b="0" i="0" spc="-100" baseline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402304"/>
        <c:crosses val="autoZero"/>
        <c:auto val="1"/>
        <c:lblAlgn val="ctr"/>
        <c:lblOffset val="100"/>
        <c:noMultiLvlLbl val="0"/>
      </c:catAx>
      <c:valAx>
        <c:axId val="120402304"/>
        <c:scaling>
          <c:orientation val="minMax"/>
        </c:scaling>
        <c:delete val="0"/>
        <c:axPos val="l"/>
        <c:majorGridlines>
          <c:spPr>
            <a:ln w="6350">
              <a:solidFill>
                <a:sysClr val="windowText" lastClr="000000">
                  <a:lumMod val="50000"/>
                  <a:lumOff val="50000"/>
                </a:sys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300" b="0">
                    <a:latin typeface="-윤고딕130" pitchFamily="18" charset="-127"/>
                    <a:ea typeface="-윤고딕130" pitchFamily="18" charset="-127"/>
                  </a:defRPr>
                </a:pPr>
                <a:r>
                  <a:rPr lang="en-US" altLang="ko-KR" sz="1300" b="0">
                    <a:latin typeface="-윤고딕130" pitchFamily="18" charset="-127"/>
                    <a:ea typeface="-윤고딕130" pitchFamily="18" charset="-127"/>
                  </a:rPr>
                  <a:t>LCC(NPV 50</a:t>
                </a:r>
                <a:r>
                  <a:rPr lang="ko-KR" altLang="en-US" sz="1300" b="0">
                    <a:latin typeface="-윤고딕130" pitchFamily="18" charset="-127"/>
                    <a:ea typeface="-윤고딕130" pitchFamily="18" charset="-127"/>
                  </a:rPr>
                  <a:t>년</a:t>
                </a:r>
                <a:r>
                  <a:rPr lang="en-US" altLang="ko-KR" sz="1300" b="0">
                    <a:latin typeface="-윤고딕130" pitchFamily="18" charset="-127"/>
                    <a:ea typeface="-윤고딕130" pitchFamily="18" charset="-127"/>
                  </a:rPr>
                  <a:t>, </a:t>
                </a:r>
                <a:r>
                  <a:rPr lang="ko-KR" altLang="en-US" sz="1300" b="0">
                    <a:latin typeface="-윤고딕130" pitchFamily="18" charset="-127"/>
                    <a:ea typeface="-윤고딕130" pitchFamily="18" charset="-127"/>
                  </a:rPr>
                  <a:t>억원</a:t>
                </a:r>
                <a:r>
                  <a:rPr lang="en-US" altLang="ko-KR" sz="1300" b="0">
                    <a:latin typeface="-윤고딕130" pitchFamily="18" charset="-127"/>
                    <a:ea typeface="-윤고딕130" pitchFamily="18" charset="-127"/>
                  </a:rPr>
                  <a:t>)</a:t>
                </a:r>
                <a:endParaRPr lang="ko-KR" altLang="en-US" sz="1300" b="0">
                  <a:latin typeface="-윤고딕130" pitchFamily="18" charset="-127"/>
                  <a:ea typeface="-윤고딕130" pitchFamily="18" charset="-127"/>
                </a:endParaRPr>
              </a:p>
            </c:rich>
          </c:tx>
          <c:layout>
            <c:manualLayout>
              <c:xMode val="edge"/>
              <c:yMode val="edge"/>
              <c:x val="3.2188194444444443E-2"/>
              <c:y val="0.1665746527777778"/>
            </c:manualLayout>
          </c:layout>
          <c:overlay val="0"/>
        </c:title>
        <c:numFmt formatCode="#,##0_);[Red]\(#,##0\)" sourceLinked="0"/>
        <c:majorTickMark val="out"/>
        <c:minorTickMark val="none"/>
        <c:tickLblPos val="nextTo"/>
        <c:spPr>
          <a:ln w="12700">
            <a:solidFill>
              <a:sysClr val="windowText" lastClr="000000">
                <a:lumMod val="50000"/>
                <a:lumOff val="50000"/>
              </a:sysClr>
            </a:solidFill>
          </a:ln>
        </c:spPr>
        <c:txPr>
          <a:bodyPr/>
          <a:lstStyle/>
          <a:p>
            <a:pPr>
              <a:defRPr sz="1100" b="0" spc="-200" baseline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367744"/>
        <c:crosses val="autoZero"/>
        <c:crossBetween val="between"/>
      </c:valAx>
      <c:spPr>
        <a:ln w="12700"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t"/>
      <c:layout>
        <c:manualLayout>
          <c:xMode val="edge"/>
          <c:yMode val="edge"/>
          <c:x val="0.18963528133114313"/>
          <c:y val="4.0403472222222334E-2"/>
          <c:w val="0.76336716220494216"/>
          <c:h val="0.12128298611111193"/>
        </c:manualLayout>
      </c:layout>
      <c:overlay val="0"/>
      <c:spPr>
        <a:ln w="19050" cap="rnd">
          <a:solidFill>
            <a:schemeClr val="tx1">
              <a:lumMod val="50000"/>
              <a:lumOff val="50000"/>
            </a:schemeClr>
          </a:solidFill>
        </a:ln>
      </c:spPr>
      <c:txPr>
        <a:bodyPr/>
        <a:lstStyle/>
        <a:p>
          <a:pPr>
            <a:defRPr sz="1200" b="1" spc="100" normalizeH="0" baseline="0"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000000000001199" l="0.70000000000000062" r="0.70000000000000062" t="0.7500000000000119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53793082268518"/>
          <c:y val="0.17725659722222306"/>
          <c:w val="0.68730591138794217"/>
          <c:h val="0.66689665354332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'6b-Value Matrix'!$AQ$7</c:f>
              <c:strCache>
                <c:ptCount val="1"/>
                <c:pt idx="0">
                  <c:v>성능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strRef>
              <c:f>'6b-Value Matrix'!$AR$6:$AS$6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Matrix'!$AR$7:$AS$7</c:f>
              <c:numCache>
                <c:formatCode>0.0</c:formatCode>
                <c:ptCount val="2"/>
                <c:pt idx="0">
                  <c:v>100</c:v>
                </c:pt>
                <c:pt idx="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4-419C-8D0E-16F7B75A4828}"/>
            </c:ext>
          </c:extLst>
        </c:ser>
        <c:ser>
          <c:idx val="2"/>
          <c:order val="2"/>
          <c:tx>
            <c:strRef>
              <c:f>'6b-Value Matrix'!$AQ$9</c:f>
              <c:strCache>
                <c:ptCount val="1"/>
                <c:pt idx="0">
                  <c:v>가치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strRef>
              <c:f>'6b-Value Matrix'!$AR$6:$AS$6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Matrix'!$AR$9:$AS$9</c:f>
              <c:numCache>
                <c:formatCode>0.0</c:formatCode>
                <c:ptCount val="2"/>
                <c:pt idx="0">
                  <c:v>100</c:v>
                </c:pt>
                <c:pt idx="1">
                  <c:v>128.30000000000001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54-419C-8D0E-16F7B75A4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20455168"/>
        <c:axId val="120456704"/>
      </c:barChart>
      <c:lineChart>
        <c:grouping val="standard"/>
        <c:varyColors val="0"/>
        <c:ser>
          <c:idx val="1"/>
          <c:order val="1"/>
          <c:tx>
            <c:strRef>
              <c:f>'6b-Value Matrix'!$AQ$8</c:f>
              <c:strCache>
                <c:ptCount val="1"/>
                <c:pt idx="0">
                  <c:v>LCC</c:v>
                </c:pt>
              </c:strCache>
            </c:strRef>
          </c:tx>
          <c:spPr>
            <a:ln>
              <a:solidFill>
                <a:sysClr val="windowText" lastClr="000000">
                  <a:lumMod val="75000"/>
                  <a:lumOff val="25000"/>
                </a:sysClr>
              </a:solidFill>
            </a:ln>
          </c:spPr>
          <c:marker>
            <c:symbol val="triangle"/>
            <c:size val="1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</c:spPr>
          </c:marker>
          <c:cat>
            <c:strRef>
              <c:f>'6b-Value Matrix'!$AR$6:$AS$6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Matrix'!$AR$8:$AS$8</c:f>
              <c:numCache>
                <c:formatCode>0.000</c:formatCode>
                <c:ptCount val="2"/>
                <c:pt idx="0">
                  <c:v>1</c:v>
                </c:pt>
                <c:pt idx="1">
                  <c:v>0.89635395240270943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54-419C-8D0E-16F7B75A4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473088"/>
        <c:axId val="120458624"/>
      </c:lineChart>
      <c:catAx>
        <c:axId val="120455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anchor="t" anchorCtr="0"/>
          <a:lstStyle/>
          <a:p>
            <a:pPr>
              <a:defRPr sz="1300" b="0" kern="1000" spc="-200" baseline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456704"/>
        <c:crosses val="autoZero"/>
        <c:auto val="1"/>
        <c:lblAlgn val="ctr"/>
        <c:lblOffset val="100"/>
        <c:noMultiLvlLbl val="0"/>
      </c:catAx>
      <c:valAx>
        <c:axId val="120456704"/>
        <c:scaling>
          <c:orientation val="minMax"/>
          <c:max val="100"/>
          <c:min val="0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 rot="-5400000" vert="horz"/>
              <a:lstStyle/>
              <a:p>
                <a:pPr>
                  <a:defRPr sz="1300" b="0">
                    <a:latin typeface="-윤고딕130" pitchFamily="18" charset="-127"/>
                    <a:ea typeface="-윤고딕130" pitchFamily="18" charset="-127"/>
                  </a:defRPr>
                </a:pPr>
                <a:r>
                  <a:rPr lang="ko-KR" altLang="en-US" sz="1300" b="0">
                    <a:latin typeface="-윤고딕130" pitchFamily="18" charset="-127"/>
                    <a:ea typeface="-윤고딕130" pitchFamily="18" charset="-127"/>
                  </a:rPr>
                  <a:t>점수</a:t>
                </a:r>
                <a:r>
                  <a:rPr lang="en-US" altLang="ko-KR" sz="1300" b="0">
                    <a:latin typeface="-윤고딕130" pitchFamily="18" charset="-127"/>
                    <a:ea typeface="-윤고딕130" pitchFamily="18" charset="-127"/>
                  </a:rPr>
                  <a:t>(P, V)</a:t>
                </a:r>
                <a:endParaRPr lang="ko-KR" sz="1300" b="0">
                  <a:latin typeface="-윤고딕130" pitchFamily="18" charset="-127"/>
                  <a:ea typeface="-윤고딕130" pitchFamily="18" charset="-127"/>
                </a:endParaRPr>
              </a:p>
            </c:rich>
          </c:tx>
          <c:layout>
            <c:manualLayout>
              <c:xMode val="edge"/>
              <c:yMode val="edge"/>
              <c:x val="2.102638653452964E-2"/>
              <c:y val="0.34982230398615027"/>
            </c:manualLayout>
          </c:layout>
          <c:overlay val="0"/>
        </c:title>
        <c:numFmt formatCode="0_);[Red]\(0\)" sourceLinked="0"/>
        <c:majorTickMark val="out"/>
        <c:minorTickMark val="none"/>
        <c:tickLblPos val="nextTo"/>
        <c:spPr>
          <a:ln w="12700">
            <a:solidFill>
              <a:sysClr val="windowText" lastClr="000000">
                <a:lumMod val="50000"/>
                <a:lumOff val="50000"/>
              </a:sysClr>
            </a:solidFill>
          </a:ln>
        </c:spPr>
        <c:txPr>
          <a:bodyPr/>
          <a:lstStyle/>
          <a:p>
            <a:pPr>
              <a:defRPr sz="1100" b="0" spc="-100" baseline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455168"/>
        <c:crosses val="autoZero"/>
        <c:crossBetween val="between"/>
        <c:majorUnit val="20"/>
      </c:valAx>
      <c:valAx>
        <c:axId val="12045862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ko-KR" altLang="en-US"/>
                  <a:t>상대비</a:t>
                </a:r>
                <a:r>
                  <a:rPr lang="en-US" altLang="ko-KR"/>
                  <a:t>(C)</a:t>
                </a:r>
                <a:endParaRPr lang="ko-KR" altLang="en-US"/>
              </a:p>
            </c:rich>
          </c:tx>
          <c:overlay val="0"/>
        </c:title>
        <c:numFmt formatCode="#,##0.00_);[Red]\(#,##0.00\)" sourceLinked="0"/>
        <c:majorTickMark val="out"/>
        <c:minorTickMark val="none"/>
        <c:tickLblPos val="nextTo"/>
        <c:txPr>
          <a:bodyPr/>
          <a:lstStyle/>
          <a:p>
            <a:pPr>
              <a:defRPr sz="1100" b="0" spc="-100" baseline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473088"/>
        <c:crosses val="max"/>
        <c:crossBetween val="between"/>
      </c:valAx>
      <c:catAx>
        <c:axId val="120473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20458624"/>
        <c:crosses val="autoZero"/>
        <c:auto val="1"/>
        <c:lblAlgn val="ctr"/>
        <c:lblOffset val="100"/>
        <c:noMultiLvlLbl val="0"/>
      </c:catAx>
      <c:spPr>
        <a:ln w="12700"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t"/>
      <c:layout>
        <c:manualLayout>
          <c:xMode val="edge"/>
          <c:yMode val="edge"/>
          <c:x val="0.13808847141955133"/>
          <c:y val="3.1885416666666881E-2"/>
          <c:w val="0.69380092592592557"/>
          <c:h val="0.12496134574087329"/>
        </c:manualLayout>
      </c:layout>
      <c:overlay val="0"/>
      <c:spPr>
        <a:ln w="19050" cap="rnd">
          <a:solidFill>
            <a:schemeClr val="tx1">
              <a:lumMod val="50000"/>
              <a:lumOff val="50000"/>
            </a:schemeClr>
          </a:solidFill>
        </a:ln>
      </c:spPr>
      <c:txPr>
        <a:bodyPr/>
        <a:lstStyle/>
        <a:p>
          <a:pPr rtl="0">
            <a:defRPr sz="1200" b="1" spc="100" normalizeH="0" baseline="0"/>
          </a:pPr>
          <a:endParaRPr lang="ko-KR"/>
        </a:p>
      </c:txPr>
    </c:legend>
    <c:plotVisOnly val="1"/>
    <c:dispBlanksAs val="gap"/>
    <c:showDLblsOverMax val="0"/>
  </c:chart>
  <c:txPr>
    <a:bodyPr/>
    <a:lstStyle/>
    <a:p>
      <a:pPr>
        <a:defRPr sz="1300"/>
      </a:pPr>
      <a:endParaRPr lang="ko-KR"/>
    </a:p>
  </c:txPr>
  <c:printSettings>
    <c:headerFooter/>
    <c:pageMargins b="0.75000000000001221" l="0.70000000000000062" r="0.70000000000000062" t="0.7500000000000122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180975</xdr:rowOff>
    </xdr:from>
    <xdr:to>
      <xdr:col>3</xdr:col>
      <xdr:colOff>76200</xdr:colOff>
      <xdr:row>0</xdr:row>
      <xdr:rowOff>180975</xdr:rowOff>
    </xdr:to>
    <xdr:pic>
      <xdr:nvPicPr>
        <xdr:cNvPr id="1438" name="Picture 1" descr="KCMC-logo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76875" y="180975"/>
          <a:ext cx="942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3667125</xdr:colOff>
      <xdr:row>0</xdr:row>
      <xdr:rowOff>190500</xdr:rowOff>
    </xdr:from>
    <xdr:to>
      <xdr:col>2</xdr:col>
      <xdr:colOff>676275</xdr:colOff>
      <xdr:row>0</xdr:row>
      <xdr:rowOff>190500</xdr:rowOff>
    </xdr:to>
    <xdr:pic>
      <xdr:nvPicPr>
        <xdr:cNvPr id="1439" name="Picture 1" descr="KCMC-logo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76850" y="190500"/>
          <a:ext cx="819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</xdr:row>
      <xdr:rowOff>133350</xdr:rowOff>
    </xdr:from>
    <xdr:to>
      <xdr:col>16</xdr:col>
      <xdr:colOff>0</xdr:colOff>
      <xdr:row>30</xdr:row>
      <xdr:rowOff>238125</xdr:rowOff>
    </xdr:to>
    <xdr:graphicFrame macro="">
      <xdr:nvGraphicFramePr>
        <xdr:cNvPr id="12800" name="Chart 2">
          <a:extLst>
            <a:ext uri="{FF2B5EF4-FFF2-40B4-BE49-F238E27FC236}">
              <a16:creationId xmlns:a16="http://schemas.microsoft.com/office/drawing/2014/main" id="{00000000-0008-0000-1500-00000032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</xdr:colOff>
      <xdr:row>18</xdr:row>
      <xdr:rowOff>180974</xdr:rowOff>
    </xdr:from>
    <xdr:to>
      <xdr:col>11</xdr:col>
      <xdr:colOff>247650</xdr:colOff>
      <xdr:row>19</xdr:row>
      <xdr:rowOff>228600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/>
      </xdr:nvSpPr>
      <xdr:spPr>
        <a:xfrm>
          <a:off x="6905625" y="4781549"/>
          <a:ext cx="885825" cy="2857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ko-KR" altLang="en-US" sz="900"/>
            <a:t>단위</a:t>
          </a:r>
          <a:r>
            <a:rPr lang="en-US" altLang="ko-KR" sz="900"/>
            <a:t>:</a:t>
          </a:r>
          <a:r>
            <a:rPr lang="ko-KR" altLang="en-US" sz="900"/>
            <a:t>억원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97914" name="차트 3">
          <a:extLst>
            <a:ext uri="{FF2B5EF4-FFF2-40B4-BE49-F238E27FC236}">
              <a16:creationId xmlns:a16="http://schemas.microsoft.com/office/drawing/2014/main" id="{00000000-0008-0000-1700-00007A7E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190500</xdr:rowOff>
    </xdr:from>
    <xdr:to>
      <xdr:col>12</xdr:col>
      <xdr:colOff>733425</xdr:colOff>
      <xdr:row>25</xdr:row>
      <xdr:rowOff>0</xdr:rowOff>
    </xdr:to>
    <xdr:graphicFrame macro="">
      <xdr:nvGraphicFramePr>
        <xdr:cNvPr id="97915" name="차트 4">
          <a:extLst>
            <a:ext uri="{FF2B5EF4-FFF2-40B4-BE49-F238E27FC236}">
              <a16:creationId xmlns:a16="http://schemas.microsoft.com/office/drawing/2014/main" id="{00000000-0008-0000-1700-00007B7E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11</xdr:row>
      <xdr:rowOff>28575</xdr:rowOff>
    </xdr:from>
    <xdr:to>
      <xdr:col>1</xdr:col>
      <xdr:colOff>142875</xdr:colOff>
      <xdr:row>12</xdr:row>
      <xdr:rowOff>104776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/>
      </xdr:nvSpPr>
      <xdr:spPr>
        <a:xfrm>
          <a:off x="19050" y="2524125"/>
          <a:ext cx="885825" cy="2857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ko-KR" altLang="en-US" sz="1000">
              <a:latin typeface="-소망L" pitchFamily="18" charset="-127"/>
              <a:ea typeface="-소망L" pitchFamily="18" charset="-127"/>
            </a:rPr>
            <a:t>단위</a:t>
          </a:r>
          <a:r>
            <a:rPr lang="en-US" altLang="ko-KR" sz="1000">
              <a:latin typeface="-소망L" pitchFamily="18" charset="-127"/>
              <a:ea typeface="-소망L" pitchFamily="18" charset="-127"/>
            </a:rPr>
            <a:t>:</a:t>
          </a:r>
          <a:r>
            <a:rPr lang="ko-KR" altLang="en-US" sz="1000">
              <a:latin typeface="-소망L" pitchFamily="18" charset="-127"/>
              <a:ea typeface="-소망L" pitchFamily="18" charset="-127"/>
            </a:rPr>
            <a:t>백만원</a:t>
          </a: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</cdr:x>
      <cdr:y>0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21440" y="17336"/>
          <a:ext cx="921535" cy="26843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ko-KR" altLang="en-US" sz="1000">
              <a:latin typeface="-소망L" pitchFamily="18" charset="-127"/>
              <a:ea typeface="-소망L" pitchFamily="18" charset="-127"/>
            </a:rPr>
            <a:t>단위</a:t>
          </a:r>
          <a:r>
            <a:rPr lang="en-US" altLang="ko-KR" sz="1000">
              <a:latin typeface="-소망L" pitchFamily="18" charset="-127"/>
              <a:ea typeface="-소망L" pitchFamily="18" charset="-127"/>
            </a:rPr>
            <a:t>:</a:t>
          </a:r>
          <a:r>
            <a:rPr lang="ko-KR" altLang="en-US" sz="1000">
              <a:latin typeface="-소망L" pitchFamily="18" charset="-127"/>
              <a:ea typeface="-소망L" pitchFamily="18" charset="-127"/>
            </a:rPr>
            <a:t>백만원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209550</xdr:colOff>
      <xdr:row>44</xdr:row>
      <xdr:rowOff>95250</xdr:rowOff>
    </xdr:from>
    <xdr:to>
      <xdr:col>21</xdr:col>
      <xdr:colOff>0</xdr:colOff>
      <xdr:row>61</xdr:row>
      <xdr:rowOff>161925</xdr:rowOff>
    </xdr:to>
    <xdr:graphicFrame macro="">
      <xdr:nvGraphicFramePr>
        <xdr:cNvPr id="8731" name="Chart 2">
          <a:extLst>
            <a:ext uri="{FF2B5EF4-FFF2-40B4-BE49-F238E27FC236}">
              <a16:creationId xmlns:a16="http://schemas.microsoft.com/office/drawing/2014/main" id="{00000000-0008-0000-1900-00001B22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33</xdr:row>
      <xdr:rowOff>0</xdr:rowOff>
    </xdr:from>
    <xdr:to>
      <xdr:col>32</xdr:col>
      <xdr:colOff>15529</xdr:colOff>
      <xdr:row>52</xdr:row>
      <xdr:rowOff>113558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pSpPr/>
      </xdr:nvGrpSpPr>
      <xdr:grpSpPr>
        <a:xfrm>
          <a:off x="12423913" y="5259457"/>
          <a:ext cx="3991181" cy="3269231"/>
          <a:chOff x="7164917" y="402167"/>
          <a:chExt cx="3960000" cy="3240000"/>
        </a:xfrm>
      </xdr:grpSpPr>
      <xdr:graphicFrame macro="">
        <xdr:nvGraphicFramePr>
          <xdr:cNvPr id="4" name="차트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GraphicFramePr/>
        </xdr:nvGraphicFramePr>
        <xdr:xfrm>
          <a:off x="7164917" y="402167"/>
          <a:ext cx="3960000" cy="32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Y$21">
        <xdr:nvSpPr>
          <xdr:cNvPr id="5" name="타원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SpPr/>
        </xdr:nvSpPr>
        <xdr:spPr>
          <a:xfrm>
            <a:off x="8826500" y="1672167"/>
            <a:ext cx="720000" cy="720000"/>
          </a:xfrm>
          <a:prstGeom prst="ellipse">
            <a:avLst/>
          </a:prstGeom>
          <a:solidFill>
            <a:schemeClr val="bg1">
              <a:lumMod val="85000"/>
            </a:schemeClr>
          </a:solidFill>
          <a:ln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36000" rIns="0" bIns="36000" rtlCol="0" anchor="ctr"/>
          <a:lstStyle/>
          <a:p>
            <a:pPr algn="ctr"/>
            <a:fld id="{77B1F92A-3B50-4508-AEA4-D390F56FA084}" type="TxLink">
              <a:rPr lang="en-US" altLang="en-US" sz="1400" b="0" i="0" u="none" strike="noStrike">
                <a:solidFill>
                  <a:srgbClr val="000000"/>
                </a:solidFill>
                <a:latin typeface="-윤고딕130" panose="02030504000101010101" pitchFamily="18" charset="-127"/>
                <a:ea typeface="-윤고딕130" panose="02030504000101010101" pitchFamily="18" charset="-127"/>
              </a:rPr>
              <a:pPr algn="ctr"/>
              <a:t>100.0</a:t>
            </a:fld>
            <a:endParaRPr lang="ko-KR" altLang="en-US" sz="1400" b="0">
              <a:solidFill>
                <a:schemeClr val="tx1">
                  <a:lumMod val="65000"/>
                  <a:lumOff val="35000"/>
                </a:schemeClr>
              </a:solidFill>
              <a:latin typeface="-윤고딕130" pitchFamily="18" charset="-127"/>
              <a:ea typeface="-윤고딕130" pitchFamily="18" charset="-127"/>
            </a:endParaRPr>
          </a:p>
        </xdr:txBody>
      </xdr:sp>
    </xdr:grpSp>
    <xdr:clientData/>
  </xdr:twoCellAnchor>
  <xdr:twoCellAnchor>
    <xdr:from>
      <xdr:col>32</xdr:col>
      <xdr:colOff>381000</xdr:colOff>
      <xdr:row>33</xdr:row>
      <xdr:rowOff>40823</xdr:rowOff>
    </xdr:from>
    <xdr:to>
      <xdr:col>39</xdr:col>
      <xdr:colOff>410136</xdr:colOff>
      <xdr:row>52</xdr:row>
      <xdr:rowOff>5503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pSpPr/>
      </xdr:nvGrpSpPr>
      <xdr:grpSpPr>
        <a:xfrm>
          <a:off x="16780565" y="5300280"/>
          <a:ext cx="3963375" cy="3120353"/>
          <a:chOff x="7164917" y="402167"/>
          <a:chExt cx="3960000" cy="3240000"/>
        </a:xfrm>
      </xdr:grpSpPr>
      <xdr:graphicFrame macro="">
        <xdr:nvGraphicFramePr>
          <xdr:cNvPr id="7" name="차트 6">
            <a:extLst>
              <a:ext uri="{FF2B5EF4-FFF2-40B4-BE49-F238E27FC236}">
                <a16:creationId xmlns:a16="http://schemas.microsoft.com/office/drawing/2014/main" id="{00000000-0008-0000-1900-000007000000}"/>
              </a:ext>
            </a:extLst>
          </xdr:cNvPr>
          <xdr:cNvGraphicFramePr/>
        </xdr:nvGraphicFramePr>
        <xdr:xfrm>
          <a:off x="7164917" y="402167"/>
          <a:ext cx="3960000" cy="32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$AB$21">
        <xdr:nvSpPr>
          <xdr:cNvPr id="8" name="타원 7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SpPr/>
        </xdr:nvSpPr>
        <xdr:spPr>
          <a:xfrm>
            <a:off x="8826500" y="1672167"/>
            <a:ext cx="720000" cy="720000"/>
          </a:xfrm>
          <a:prstGeom prst="ellipse">
            <a:avLst/>
          </a:prstGeom>
          <a:solidFill>
            <a:schemeClr val="bg1">
              <a:lumMod val="85000"/>
            </a:schemeClr>
          </a:solidFill>
          <a:ln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36000" rIns="0" bIns="36000" rtlCol="0" anchor="ctr"/>
          <a:lstStyle/>
          <a:p>
            <a:pPr algn="ctr"/>
            <a:fld id="{42FEF8E6-A18C-43A7-924A-D8FB54F41AB0}" type="TxLink">
              <a:rPr lang="en-US" altLang="en-US" sz="1500" b="0" i="0" u="none" strike="noStrike">
                <a:solidFill>
                  <a:srgbClr val="000000"/>
                </a:solidFill>
                <a:latin typeface="-윤고딕120"/>
                <a:ea typeface="-윤고딕130" panose="02030504000101010101" pitchFamily="18" charset="-127"/>
              </a:rPr>
              <a:pPr algn="ctr"/>
              <a:t>115.0</a:t>
            </a:fld>
            <a:endParaRPr lang="ko-KR" altLang="en-US" sz="1500" b="0">
              <a:solidFill>
                <a:schemeClr val="tx1">
                  <a:lumMod val="65000"/>
                  <a:lumOff val="35000"/>
                </a:schemeClr>
              </a:solidFill>
              <a:latin typeface="-윤고딕130" pitchFamily="18" charset="-127"/>
              <a:ea typeface="-윤고딕130" pitchFamily="18" charset="-127"/>
            </a:endParaRPr>
          </a:p>
        </xdr:txBody>
      </xdr:sp>
    </xdr:grpSp>
    <xdr:clientData/>
  </xdr:twoCellAnchor>
  <xdr:twoCellAnchor>
    <xdr:from>
      <xdr:col>23</xdr:col>
      <xdr:colOff>571500</xdr:colOff>
      <xdr:row>53</xdr:row>
      <xdr:rowOff>208359</xdr:rowOff>
    </xdr:from>
    <xdr:to>
      <xdr:col>34</xdr:col>
      <xdr:colOff>245501</xdr:colOff>
      <xdr:row>67</xdr:row>
      <xdr:rowOff>97206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pSpPr/>
      </xdr:nvGrpSpPr>
      <xdr:grpSpPr>
        <a:xfrm>
          <a:off x="12423913" y="8813989"/>
          <a:ext cx="5215066" cy="2787760"/>
          <a:chOff x="4210050" y="0"/>
          <a:chExt cx="4941794" cy="3000375"/>
        </a:xfrm>
      </xdr:grpSpPr>
      <xdr:graphicFrame macro="">
        <xdr:nvGraphicFramePr>
          <xdr:cNvPr id="10" name="차트 9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GraphicFramePr/>
        </xdr:nvGraphicFramePr>
        <xdr:xfrm>
          <a:off x="4210050" y="0"/>
          <a:ext cx="4941794" cy="30003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$AA$15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900-00000B000000}"/>
              </a:ext>
            </a:extLst>
          </xdr:cNvPr>
          <xdr:cNvSpPr/>
        </xdr:nvSpPr>
        <xdr:spPr>
          <a:xfrm>
            <a:off x="5550915" y="2018723"/>
            <a:ext cx="830769" cy="342598"/>
          </a:xfrm>
          <a:prstGeom prst="roundRect">
            <a:avLst/>
          </a:prstGeom>
          <a:solidFill>
            <a:schemeClr val="bg1">
              <a:lumMod val="65000"/>
            </a:schemeClr>
          </a:solidFill>
          <a:ln w="1270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fld id="{5E20514F-A9F7-4031-A7C5-B10C8F61AE05}" type="TxLink">
              <a:rPr lang="en-US" altLang="en-US" sz="1200" b="0" i="0" u="none" strike="noStrike">
                <a:solidFill>
                  <a:srgbClr val="000000"/>
                </a:solidFill>
                <a:latin typeface="-윤고딕130" panose="02030504000101010101" pitchFamily="18" charset="-127"/>
                <a:ea typeface="-윤고딕130" panose="02030504000101010101" pitchFamily="18" charset="-127"/>
              </a:rPr>
              <a:pPr algn="ctr"/>
              <a:t>100.0 </a:t>
            </a:fld>
            <a:endParaRPr lang="ko-KR" altLang="en-US" sz="1600" b="1">
              <a:latin typeface="-윤고딕130" panose="02030504000101010101" pitchFamily="18" charset="-127"/>
              <a:ea typeface="-윤고딕130" panose="02030504000101010101" pitchFamily="18" charset="-127"/>
            </a:endParaRPr>
          </a:p>
        </xdr:txBody>
      </xdr:sp>
      <xdr:sp macro="" textlink="$AD$15">
        <xdr:nvSpPr>
          <xdr:cNvPr id="12" name="모서리가 둥근 직사각형 11">
            <a:extLst>
              <a:ext uri="{FF2B5EF4-FFF2-40B4-BE49-F238E27FC236}">
                <a16:creationId xmlns:a16="http://schemas.microsoft.com/office/drawing/2014/main" id="{00000000-0008-0000-1900-00000C000000}"/>
              </a:ext>
            </a:extLst>
          </xdr:cNvPr>
          <xdr:cNvSpPr/>
        </xdr:nvSpPr>
        <xdr:spPr>
          <a:xfrm>
            <a:off x="7584824" y="2029304"/>
            <a:ext cx="830769" cy="342598"/>
          </a:xfrm>
          <a:prstGeom prst="roundRect">
            <a:avLst/>
          </a:prstGeom>
          <a:solidFill>
            <a:schemeClr val="bg1">
              <a:lumMod val="65000"/>
            </a:schemeClr>
          </a:solidFill>
          <a:ln w="1270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fld id="{DAEA2025-96F8-450E-AD2E-5FE6B3203687}" type="TxLink">
              <a:rPr lang="en-US" altLang="en-US" sz="1200" b="0" i="0" u="none" strike="noStrike">
                <a:solidFill>
                  <a:srgbClr val="000000"/>
                </a:solidFill>
                <a:latin typeface="-윤고딕120"/>
                <a:ea typeface="-윤고딕130" panose="02030504000101010101" pitchFamily="18" charset="-127"/>
              </a:rPr>
              <a:pPr algn="ctr"/>
              <a:t>115.0 </a:t>
            </a:fld>
            <a:endParaRPr lang="ko-KR" altLang="en-US" sz="1600" b="1">
              <a:latin typeface="-윤고딕130" panose="02030504000101010101" pitchFamily="18" charset="-127"/>
              <a:ea typeface="-윤고딕130" panose="02030504000101010101" pitchFamily="18" charset="-127"/>
            </a:endParaRPr>
          </a:p>
        </xdr:txBody>
      </xdr:sp>
    </xdr:grpSp>
    <xdr:clientData/>
  </xdr:twoCellAnchor>
  <xdr:twoCellAnchor>
    <xdr:from>
      <xdr:col>35</xdr:col>
      <xdr:colOff>0</xdr:colOff>
      <xdr:row>54</xdr:row>
      <xdr:rowOff>0</xdr:rowOff>
    </xdr:from>
    <xdr:to>
      <xdr:col>43</xdr:col>
      <xdr:colOff>424795</xdr:colOff>
      <xdr:row>67</xdr:row>
      <xdr:rowOff>97206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0</xdr:colOff>
      <xdr:row>54</xdr:row>
      <xdr:rowOff>0</xdr:rowOff>
    </xdr:from>
    <xdr:to>
      <xdr:col>52</xdr:col>
      <xdr:colOff>495232</xdr:colOff>
      <xdr:row>68</xdr:row>
      <xdr:rowOff>7559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E48"/>
  <sheetViews>
    <sheetView view="pageBreakPreview" zoomScale="115" zoomScaleNormal="115" zoomScaleSheetLayoutView="115" workbookViewId="0">
      <selection activeCell="B9" sqref="B9:C9"/>
    </sheetView>
  </sheetViews>
  <sheetFormatPr defaultRowHeight="15.75"/>
  <cols>
    <col min="1" max="1" width="18.77734375" style="389" customWidth="1"/>
    <col min="2" max="2" width="44.44140625" style="389" customWidth="1"/>
    <col min="3" max="3" width="10.77734375" style="389" customWidth="1"/>
    <col min="4" max="5" width="8.88671875" style="389" customWidth="1"/>
    <col min="6" max="16384" width="8.88671875" style="389"/>
  </cols>
  <sheetData>
    <row r="1" spans="1:5" ht="30" customHeight="1">
      <c r="A1" s="729" t="s">
        <v>18</v>
      </c>
      <c r="B1" s="730"/>
      <c r="C1" s="731"/>
    </row>
    <row r="2" spans="1:5" ht="20.100000000000001" customHeight="1" thickBot="1">
      <c r="A2" s="390" t="s">
        <v>319</v>
      </c>
      <c r="B2" s="732" t="s">
        <v>400</v>
      </c>
      <c r="C2" s="733"/>
    </row>
    <row r="3" spans="1:5" ht="9.9499999999999993" customHeight="1" thickBot="1">
      <c r="A3" s="390"/>
      <c r="B3" s="391"/>
      <c r="C3" s="392"/>
    </row>
    <row r="4" spans="1:5" ht="20.25" customHeight="1" thickBot="1">
      <c r="A4" s="393" t="s">
        <v>19</v>
      </c>
      <c r="B4" s="740" t="s">
        <v>20</v>
      </c>
      <c r="C4" s="741"/>
    </row>
    <row r="5" spans="1:5" ht="35.1" customHeight="1">
      <c r="A5" s="719" t="s">
        <v>364</v>
      </c>
      <c r="B5" s="736"/>
      <c r="C5" s="737"/>
      <c r="E5" s="394"/>
    </row>
    <row r="6" spans="1:5" ht="35.1" customHeight="1">
      <c r="A6" s="719" t="s">
        <v>365</v>
      </c>
      <c r="B6" s="736"/>
      <c r="C6" s="737"/>
    </row>
    <row r="7" spans="1:5" ht="35.1" customHeight="1">
      <c r="A7" s="719" t="s">
        <v>366</v>
      </c>
      <c r="B7" s="742"/>
      <c r="C7" s="743"/>
    </row>
    <row r="8" spans="1:5" ht="35.1" customHeight="1">
      <c r="A8" s="719" t="s">
        <v>367</v>
      </c>
      <c r="B8" s="742"/>
      <c r="C8" s="743"/>
    </row>
    <row r="9" spans="1:5" ht="35.1" customHeight="1">
      <c r="A9" s="719" t="s">
        <v>368</v>
      </c>
      <c r="B9" s="744"/>
      <c r="C9" s="743"/>
    </row>
    <row r="10" spans="1:5" ht="35.1" customHeight="1">
      <c r="A10" s="719" t="s">
        <v>369</v>
      </c>
      <c r="B10" s="744"/>
      <c r="C10" s="743"/>
    </row>
    <row r="11" spans="1:5" ht="35.1" customHeight="1">
      <c r="A11" s="719" t="s">
        <v>370</v>
      </c>
      <c r="B11" s="738"/>
      <c r="C11" s="739"/>
    </row>
    <row r="12" spans="1:5" ht="35.1" customHeight="1">
      <c r="A12" s="719" t="s">
        <v>371</v>
      </c>
      <c r="B12" s="738"/>
      <c r="C12" s="739"/>
    </row>
    <row r="13" spans="1:5" ht="35.1" customHeight="1">
      <c r="A13" s="395"/>
      <c r="B13" s="738"/>
      <c r="C13" s="739"/>
    </row>
    <row r="14" spans="1:5" ht="35.1" customHeight="1">
      <c r="A14" s="395"/>
      <c r="B14" s="745"/>
      <c r="C14" s="739"/>
    </row>
    <row r="15" spans="1:5" ht="35.1" customHeight="1" thickBot="1">
      <c r="A15" s="396"/>
      <c r="B15" s="734"/>
      <c r="C15" s="735"/>
    </row>
    <row r="16" spans="1:5" ht="9.9499999999999993" customHeight="1" thickBot="1">
      <c r="A16" s="397"/>
      <c r="B16" s="398"/>
      <c r="C16" s="399"/>
    </row>
    <row r="17" spans="1:3" ht="20.25" customHeight="1" thickBot="1">
      <c r="A17" s="400" t="s">
        <v>21</v>
      </c>
      <c r="B17" s="740" t="s">
        <v>20</v>
      </c>
      <c r="C17" s="741"/>
    </row>
    <row r="18" spans="1:3" ht="33" customHeight="1">
      <c r="A18" s="697"/>
      <c r="B18" s="736"/>
      <c r="C18" s="737"/>
    </row>
    <row r="19" spans="1:3" ht="33" customHeight="1">
      <c r="A19" s="697"/>
      <c r="B19" s="742"/>
      <c r="C19" s="743"/>
    </row>
    <row r="20" spans="1:3" ht="33" customHeight="1">
      <c r="A20" s="697"/>
      <c r="B20" s="742"/>
      <c r="C20" s="743"/>
    </row>
    <row r="21" spans="1:3" ht="33" customHeight="1">
      <c r="A21" s="698"/>
      <c r="B21" s="744"/>
      <c r="C21" s="743"/>
    </row>
    <row r="22" spans="1:3" ht="33" customHeight="1">
      <c r="A22" s="698"/>
      <c r="B22" s="744"/>
      <c r="C22" s="743"/>
    </row>
    <row r="23" spans="1:3" ht="33" customHeight="1" thickBot="1">
      <c r="A23" s="699"/>
      <c r="B23" s="746"/>
      <c r="C23" s="747"/>
    </row>
    <row r="24" spans="1:3">
      <c r="B24" s="401"/>
    </row>
    <row r="25" spans="1:3">
      <c r="B25" s="401"/>
    </row>
    <row r="26" spans="1:3">
      <c r="B26" s="401"/>
    </row>
    <row r="27" spans="1:3">
      <c r="B27" s="401"/>
    </row>
    <row r="28" spans="1:3">
      <c r="B28" s="401"/>
    </row>
    <row r="29" spans="1:3">
      <c r="B29" s="401"/>
    </row>
    <row r="30" spans="1:3">
      <c r="B30" s="401"/>
    </row>
    <row r="31" spans="1:3">
      <c r="B31" s="401"/>
    </row>
    <row r="32" spans="1:3">
      <c r="B32" s="401"/>
    </row>
    <row r="33" spans="2:2">
      <c r="B33" s="401"/>
    </row>
    <row r="34" spans="2:2">
      <c r="B34" s="401"/>
    </row>
    <row r="35" spans="2:2">
      <c r="B35" s="401"/>
    </row>
    <row r="36" spans="2:2">
      <c r="B36" s="401"/>
    </row>
    <row r="37" spans="2:2">
      <c r="B37" s="401"/>
    </row>
    <row r="38" spans="2:2">
      <c r="B38" s="401"/>
    </row>
    <row r="39" spans="2:2">
      <c r="B39" s="401"/>
    </row>
    <row r="40" spans="2:2">
      <c r="B40" s="401"/>
    </row>
    <row r="41" spans="2:2">
      <c r="B41" s="401"/>
    </row>
    <row r="42" spans="2:2">
      <c r="B42" s="401"/>
    </row>
    <row r="43" spans="2:2">
      <c r="B43" s="401"/>
    </row>
    <row r="44" spans="2:2">
      <c r="B44" s="401"/>
    </row>
    <row r="45" spans="2:2">
      <c r="B45" s="401"/>
    </row>
    <row r="46" spans="2:2">
      <c r="B46" s="401"/>
    </row>
    <row r="47" spans="2:2">
      <c r="B47" s="401"/>
    </row>
    <row r="48" spans="2:2">
      <c r="B48" s="401"/>
    </row>
  </sheetData>
  <mergeCells count="21">
    <mergeCell ref="B17:C17"/>
    <mergeCell ref="B23:C23"/>
    <mergeCell ref="B18:C18"/>
    <mergeCell ref="B21:C21"/>
    <mergeCell ref="B22:C22"/>
    <mergeCell ref="B19:C19"/>
    <mergeCell ref="B20:C20"/>
    <mergeCell ref="A1:C1"/>
    <mergeCell ref="B2:C2"/>
    <mergeCell ref="B15:C15"/>
    <mergeCell ref="B5:C5"/>
    <mergeCell ref="B6:C6"/>
    <mergeCell ref="B11:C11"/>
    <mergeCell ref="B4:C4"/>
    <mergeCell ref="B12:C12"/>
    <mergeCell ref="B7:C7"/>
    <mergeCell ref="B13:C13"/>
    <mergeCell ref="B10:C10"/>
    <mergeCell ref="B8:C8"/>
    <mergeCell ref="B9:C9"/>
    <mergeCell ref="B14:C14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"/>
  <sheetViews>
    <sheetView view="pageBreakPreview" zoomScale="115" zoomScaleNormal="100" zoomScaleSheetLayoutView="115" workbookViewId="0">
      <selection activeCell="B6" sqref="B6"/>
    </sheetView>
  </sheetViews>
  <sheetFormatPr defaultRowHeight="15.75"/>
  <cols>
    <col min="1" max="1" width="20.77734375" style="28" customWidth="1"/>
    <col min="2" max="2" width="53.33203125" style="28" customWidth="1"/>
    <col min="3" max="4" width="17" style="28" customWidth="1"/>
    <col min="5" max="16384" width="8.88671875" style="28"/>
  </cols>
  <sheetData>
    <row r="1" spans="1:4" ht="30" customHeight="1">
      <c r="A1" s="749" t="s">
        <v>23</v>
      </c>
      <c r="B1" s="750"/>
    </row>
    <row r="2" spans="1:4" ht="20.100000000000001" customHeight="1" thickBot="1">
      <c r="A2" s="125" t="str">
        <f>'1a-Performance'!A2:B2</f>
        <v xml:space="preserve">VE Title : </v>
      </c>
      <c r="B2" s="126" t="str">
        <f>'1a-Performance'!B2</f>
        <v>포장두께</v>
      </c>
    </row>
    <row r="3" spans="1:4" ht="25.5" customHeight="1" thickBot="1">
      <c r="A3" s="128" t="s">
        <v>25</v>
      </c>
      <c r="B3" s="132" t="str">
        <f>'1a-Performance'!A5</f>
        <v>시공성</v>
      </c>
    </row>
    <row r="4" spans="1:4" ht="21.2" customHeight="1">
      <c r="A4" s="129" t="s">
        <v>24</v>
      </c>
      <c r="B4" s="130" t="s">
        <v>20</v>
      </c>
    </row>
    <row r="5" spans="1:4" ht="28.5" customHeight="1">
      <c r="A5" s="31"/>
      <c r="B5" s="121"/>
    </row>
    <row r="6" spans="1:4" ht="28.5" customHeight="1">
      <c r="A6" s="29"/>
      <c r="B6" s="121"/>
    </row>
    <row r="7" spans="1:4" ht="28.5" customHeight="1">
      <c r="A7" s="76"/>
      <c r="B7" s="131"/>
    </row>
    <row r="8" spans="1:4" ht="28.5" customHeight="1" thickBot="1">
      <c r="A8" s="30"/>
      <c r="B8" s="120"/>
      <c r="C8" s="748"/>
      <c r="D8" s="748"/>
    </row>
    <row r="9" spans="1:4" ht="25.5" customHeight="1" thickBot="1">
      <c r="A9" s="128" t="s">
        <v>26</v>
      </c>
      <c r="B9" s="132" t="str">
        <f>'1a-Performance'!A6</f>
        <v>유지관리성</v>
      </c>
      <c r="C9" s="748"/>
      <c r="D9" s="748"/>
    </row>
    <row r="10" spans="1:4" ht="21.2" customHeight="1">
      <c r="A10" s="129" t="s">
        <v>24</v>
      </c>
      <c r="B10" s="130" t="s">
        <v>20</v>
      </c>
      <c r="C10" s="748"/>
      <c r="D10" s="748"/>
    </row>
    <row r="11" spans="1:4" ht="28.5" customHeight="1">
      <c r="A11" s="29"/>
      <c r="B11" s="121"/>
      <c r="C11" s="748"/>
      <c r="D11" s="748"/>
    </row>
    <row r="12" spans="1:4" ht="28.5" customHeight="1">
      <c r="A12" s="29"/>
      <c r="B12" s="121"/>
      <c r="C12" s="748"/>
      <c r="D12" s="748"/>
    </row>
    <row r="13" spans="1:4" ht="28.5" customHeight="1">
      <c r="A13" s="29"/>
      <c r="B13" s="121"/>
    </row>
    <row r="14" spans="1:4" ht="28.5" customHeight="1" thickBot="1">
      <c r="A14" s="30"/>
      <c r="B14" s="120"/>
    </row>
    <row r="15" spans="1:4" ht="25.5" customHeight="1" thickBot="1">
      <c r="A15" s="128" t="s">
        <v>27</v>
      </c>
      <c r="B15" s="132" t="str">
        <f>'1a-Performance'!A7</f>
        <v>내구성</v>
      </c>
    </row>
    <row r="16" spans="1:4" ht="21.2" customHeight="1">
      <c r="A16" s="129" t="s">
        <v>24</v>
      </c>
      <c r="B16" s="130" t="s">
        <v>20</v>
      </c>
    </row>
    <row r="17" spans="1:2" ht="28.5" customHeight="1">
      <c r="A17" s="29"/>
      <c r="B17" s="122"/>
    </row>
    <row r="18" spans="1:2" ht="28.5" customHeight="1">
      <c r="A18" s="29"/>
      <c r="B18" s="121"/>
    </row>
    <row r="19" spans="1:2" ht="28.5" customHeight="1">
      <c r="A19" s="29"/>
      <c r="B19" s="121"/>
    </row>
    <row r="20" spans="1:2" ht="28.5" customHeight="1" thickBot="1">
      <c r="A20" s="30"/>
      <c r="B20" s="120"/>
    </row>
    <row r="21" spans="1:2" ht="25.5" customHeight="1" thickBot="1">
      <c r="A21" s="128" t="s">
        <v>28</v>
      </c>
      <c r="B21" s="132" t="str">
        <f>'1a-Performance'!A8</f>
        <v>이용편의성</v>
      </c>
    </row>
    <row r="22" spans="1:2" ht="21.2" customHeight="1">
      <c r="A22" s="129" t="s">
        <v>24</v>
      </c>
      <c r="B22" s="130" t="s">
        <v>20</v>
      </c>
    </row>
    <row r="23" spans="1:2" ht="28.5" customHeight="1">
      <c r="A23" s="29"/>
      <c r="B23" s="122"/>
    </row>
    <row r="24" spans="1:2" ht="28.5" customHeight="1">
      <c r="A24" s="29"/>
      <c r="B24" s="121"/>
    </row>
    <row r="25" spans="1:2" ht="28.5" customHeight="1">
      <c r="A25" s="76"/>
      <c r="B25" s="131"/>
    </row>
    <row r="26" spans="1:2" ht="28.5" customHeight="1" thickBot="1">
      <c r="A26" s="30"/>
      <c r="B26" s="120"/>
    </row>
    <row r="27" spans="1:2" ht="25.5" customHeight="1" thickBot="1">
      <c r="A27" s="127" t="s">
        <v>29</v>
      </c>
      <c r="B27" s="133" t="str">
        <f>'1a-Performance'!A9</f>
        <v>친환경성</v>
      </c>
    </row>
    <row r="28" spans="1:2" ht="21.2" customHeight="1">
      <c r="A28" s="129" t="s">
        <v>24</v>
      </c>
      <c r="B28" s="130" t="s">
        <v>20</v>
      </c>
    </row>
    <row r="29" spans="1:2" ht="28.5" customHeight="1">
      <c r="A29" s="76"/>
      <c r="B29" s="121"/>
    </row>
    <row r="30" spans="1:2" ht="28.5" customHeight="1">
      <c r="A30" s="29"/>
      <c r="B30" s="121"/>
    </row>
    <row r="31" spans="1:2" ht="28.5" customHeight="1">
      <c r="A31" s="29"/>
      <c r="B31" s="121"/>
    </row>
    <row r="32" spans="1:2" ht="28.5" customHeight="1" thickBot="1">
      <c r="A32" s="30"/>
      <c r="B32" s="120"/>
    </row>
    <row r="33" spans="1:2" ht="25.5" customHeight="1" thickBot="1">
      <c r="A33" s="128" t="s">
        <v>30</v>
      </c>
      <c r="B33" s="132" t="str">
        <f>'1a-Performance'!A10</f>
        <v>배수성</v>
      </c>
    </row>
    <row r="34" spans="1:2" ht="21.2" customHeight="1">
      <c r="A34" s="129" t="s">
        <v>24</v>
      </c>
      <c r="B34" s="130" t="s">
        <v>20</v>
      </c>
    </row>
    <row r="35" spans="1:2" ht="28.5" customHeight="1">
      <c r="A35" s="29"/>
      <c r="B35" s="121"/>
    </row>
    <row r="36" spans="1:2" ht="28.5" customHeight="1">
      <c r="A36" s="31"/>
      <c r="B36" s="121"/>
    </row>
    <row r="37" spans="1:2" ht="28.5" customHeight="1">
      <c r="A37" s="29"/>
      <c r="B37" s="121"/>
    </row>
    <row r="38" spans="1:2" ht="28.5" customHeight="1" thickBot="1">
      <c r="A38" s="30"/>
      <c r="B38" s="120"/>
    </row>
    <row r="39" spans="1:2" ht="25.5" customHeight="1" thickBot="1">
      <c r="A39" s="128" t="s">
        <v>31</v>
      </c>
      <c r="B39" s="132" t="str">
        <f>'1a-Performance'!A11</f>
        <v>교통안전성</v>
      </c>
    </row>
    <row r="40" spans="1:2" ht="21.2" customHeight="1">
      <c r="A40" s="129" t="s">
        <v>24</v>
      </c>
      <c r="B40" s="130" t="s">
        <v>20</v>
      </c>
    </row>
    <row r="41" spans="1:2" ht="28.5" customHeight="1">
      <c r="A41" s="29"/>
      <c r="B41" s="121"/>
    </row>
    <row r="42" spans="1:2" ht="28.5" customHeight="1">
      <c r="A42" s="29"/>
      <c r="B42" s="121"/>
    </row>
    <row r="43" spans="1:2" ht="28.5" customHeight="1">
      <c r="A43" s="29"/>
      <c r="B43" s="121"/>
    </row>
    <row r="44" spans="1:2" ht="28.5" customHeight="1" thickBot="1">
      <c r="A44" s="30"/>
      <c r="B44" s="120"/>
    </row>
    <row r="45" spans="1:2" ht="25.5" customHeight="1" thickBot="1">
      <c r="A45" s="128" t="s">
        <v>32</v>
      </c>
      <c r="B45" s="132" t="str">
        <f>'1a-Performance'!A12</f>
        <v>민원성</v>
      </c>
    </row>
    <row r="46" spans="1:2" ht="21.2" customHeight="1">
      <c r="A46" s="129" t="s">
        <v>24</v>
      </c>
      <c r="B46" s="130" t="s">
        <v>20</v>
      </c>
    </row>
    <row r="47" spans="1:2" ht="28.5" customHeight="1">
      <c r="A47" s="29"/>
      <c r="B47" s="121"/>
    </row>
    <row r="48" spans="1:2" ht="28.5" customHeight="1">
      <c r="A48" s="29"/>
      <c r="B48" s="121"/>
    </row>
    <row r="49" spans="1:2" ht="28.5" customHeight="1">
      <c r="A49" s="76"/>
      <c r="B49" s="131"/>
    </row>
    <row r="50" spans="1:2" ht="28.5" customHeight="1" thickBot="1">
      <c r="A50" s="30"/>
      <c r="B50" s="120"/>
    </row>
  </sheetData>
  <mergeCells count="6">
    <mergeCell ref="C12:D12"/>
    <mergeCell ref="A1:B1"/>
    <mergeCell ref="C8:D8"/>
    <mergeCell ref="C9:D9"/>
    <mergeCell ref="C10:D10"/>
    <mergeCell ref="C11:D11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Roman,보통"&amp;A&amp;R&amp;"Times New Roman,보통"Page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M56"/>
  <sheetViews>
    <sheetView view="pageBreakPreview" zoomScale="115" zoomScaleNormal="100" zoomScaleSheetLayoutView="115" workbookViewId="0">
      <selection activeCell="C24" sqref="C24"/>
    </sheetView>
  </sheetViews>
  <sheetFormatPr defaultRowHeight="15.75"/>
  <cols>
    <col min="1" max="1" width="5.6640625" style="389" customWidth="1"/>
    <col min="2" max="6" width="12.77734375" style="422" customWidth="1"/>
    <col min="7" max="9" width="12.77734375" style="389" customWidth="1"/>
    <col min="10" max="16384" width="8.88671875" style="389"/>
  </cols>
  <sheetData>
    <row r="1" spans="1:13" ht="30" customHeight="1">
      <c r="A1" s="729" t="s">
        <v>33</v>
      </c>
      <c r="B1" s="730"/>
      <c r="C1" s="730"/>
      <c r="D1" s="730"/>
      <c r="E1" s="730"/>
      <c r="F1" s="730"/>
      <c r="G1" s="730"/>
      <c r="H1" s="730"/>
      <c r="I1" s="731"/>
    </row>
    <row r="2" spans="1:13" ht="20.100000000000001" customHeight="1">
      <c r="A2" s="760" t="str">
        <f>'1a-Performance'!A2:B2</f>
        <v xml:space="preserve">VE Title : </v>
      </c>
      <c r="B2" s="761"/>
      <c r="C2" s="762" t="str">
        <f>'1a-Performance'!B2</f>
        <v>포장두께</v>
      </c>
      <c r="D2" s="762"/>
      <c r="E2" s="762"/>
      <c r="F2" s="762"/>
      <c r="G2" s="762"/>
      <c r="H2" s="762"/>
      <c r="I2" s="403"/>
    </row>
    <row r="3" spans="1:13" ht="20.100000000000001" customHeight="1">
      <c r="A3" s="754" t="s">
        <v>34</v>
      </c>
      <c r="B3" s="755"/>
      <c r="C3" s="755"/>
      <c r="D3" s="755"/>
      <c r="E3" s="755"/>
      <c r="F3" s="755"/>
      <c r="G3" s="755"/>
      <c r="H3" s="755"/>
      <c r="I3" s="756"/>
    </row>
    <row r="4" spans="1:13" s="408" customFormat="1" ht="16.5">
      <c r="A4" s="404" t="s">
        <v>35</v>
      </c>
      <c r="B4" s="405" t="str">
        <f>'1a-Performance'!A5</f>
        <v>시공성</v>
      </c>
      <c r="C4" s="405" t="str">
        <f>'1a-Performance'!A6</f>
        <v>유지관리성</v>
      </c>
      <c r="D4" s="405" t="str">
        <f>'1a-Performance'!A7</f>
        <v>내구성</v>
      </c>
      <c r="E4" s="405" t="str">
        <f>'1a-Performance'!A8</f>
        <v>이용편의성</v>
      </c>
      <c r="F4" s="405" t="str">
        <f>'1a-Performance'!A9</f>
        <v>친환경성</v>
      </c>
      <c r="G4" s="405" t="str">
        <f>'1a-Performance'!A10</f>
        <v>배수성</v>
      </c>
      <c r="H4" s="405" t="str">
        <f>'1a-Performance'!A11</f>
        <v>교통안전성</v>
      </c>
      <c r="I4" s="406" t="str">
        <f>'1a-Performance'!A12</f>
        <v>민원성</v>
      </c>
      <c r="J4" s="407"/>
      <c r="K4" s="407"/>
      <c r="L4" s="407"/>
      <c r="M4" s="407"/>
    </row>
    <row r="5" spans="1:13" s="408" customFormat="1" ht="18" customHeight="1">
      <c r="A5" s="409">
        <v>10</v>
      </c>
      <c r="B5" s="757" t="s">
        <v>36</v>
      </c>
      <c r="C5" s="758"/>
      <c r="D5" s="758"/>
      <c r="E5" s="758"/>
      <c r="F5" s="758"/>
      <c r="G5" s="758"/>
      <c r="H5" s="758"/>
      <c r="I5" s="759"/>
    </row>
    <row r="6" spans="1:13" s="408" customFormat="1" ht="18" customHeight="1">
      <c r="A6" s="410">
        <v>9</v>
      </c>
      <c r="B6" s="751" t="s">
        <v>37</v>
      </c>
      <c r="C6" s="752"/>
      <c r="D6" s="752"/>
      <c r="E6" s="752"/>
      <c r="F6" s="752"/>
      <c r="G6" s="752"/>
      <c r="H6" s="752"/>
      <c r="I6" s="753"/>
    </row>
    <row r="7" spans="1:13" s="408" customFormat="1" ht="18" customHeight="1">
      <c r="A7" s="410">
        <v>8</v>
      </c>
      <c r="B7" s="751" t="s">
        <v>38</v>
      </c>
      <c r="C7" s="752"/>
      <c r="D7" s="752"/>
      <c r="E7" s="752"/>
      <c r="F7" s="752"/>
      <c r="G7" s="752"/>
      <c r="H7" s="752"/>
      <c r="I7" s="753"/>
    </row>
    <row r="8" spans="1:13" s="408" customFormat="1" ht="18" customHeight="1">
      <c r="A8" s="410">
        <v>7</v>
      </c>
      <c r="B8" s="751" t="s">
        <v>39</v>
      </c>
      <c r="C8" s="752"/>
      <c r="D8" s="752"/>
      <c r="E8" s="752"/>
      <c r="F8" s="752"/>
      <c r="G8" s="752"/>
      <c r="H8" s="752"/>
      <c r="I8" s="753"/>
    </row>
    <row r="9" spans="1:13" s="408" customFormat="1" ht="18" customHeight="1">
      <c r="A9" s="410">
        <v>6</v>
      </c>
      <c r="B9" s="751" t="s">
        <v>40</v>
      </c>
      <c r="C9" s="752"/>
      <c r="D9" s="752"/>
      <c r="E9" s="752"/>
      <c r="F9" s="752"/>
      <c r="G9" s="752"/>
      <c r="H9" s="752"/>
      <c r="I9" s="753"/>
    </row>
    <row r="10" spans="1:13" s="408" customFormat="1" ht="18" customHeight="1">
      <c r="A10" s="411">
        <v>5</v>
      </c>
      <c r="B10" s="769" t="s">
        <v>41</v>
      </c>
      <c r="C10" s="770"/>
      <c r="D10" s="770"/>
      <c r="E10" s="770"/>
      <c r="F10" s="770"/>
      <c r="G10" s="770"/>
      <c r="H10" s="770"/>
      <c r="I10" s="771"/>
    </row>
    <row r="11" spans="1:13" s="408" customFormat="1" ht="18" customHeight="1">
      <c r="A11" s="410">
        <v>4</v>
      </c>
      <c r="B11" s="751" t="s">
        <v>42</v>
      </c>
      <c r="C11" s="752"/>
      <c r="D11" s="752"/>
      <c r="E11" s="752"/>
      <c r="F11" s="752"/>
      <c r="G11" s="752"/>
      <c r="H11" s="752"/>
      <c r="I11" s="753"/>
    </row>
    <row r="12" spans="1:13" s="408" customFormat="1" ht="18" customHeight="1">
      <c r="A12" s="410">
        <v>3</v>
      </c>
      <c r="B12" s="751" t="s">
        <v>43</v>
      </c>
      <c r="C12" s="752"/>
      <c r="D12" s="752"/>
      <c r="E12" s="752"/>
      <c r="F12" s="752"/>
      <c r="G12" s="752"/>
      <c r="H12" s="752"/>
      <c r="I12" s="753"/>
    </row>
    <row r="13" spans="1:13" s="408" customFormat="1" ht="18" customHeight="1">
      <c r="A13" s="410">
        <v>2</v>
      </c>
      <c r="B13" s="751" t="s">
        <v>44</v>
      </c>
      <c r="C13" s="752"/>
      <c r="D13" s="752"/>
      <c r="E13" s="752"/>
      <c r="F13" s="752"/>
      <c r="G13" s="752"/>
      <c r="H13" s="752"/>
      <c r="I13" s="753"/>
    </row>
    <row r="14" spans="1:13" s="408" customFormat="1" ht="18" customHeight="1">
      <c r="A14" s="410">
        <v>1</v>
      </c>
      <c r="B14" s="751" t="s">
        <v>45</v>
      </c>
      <c r="C14" s="752"/>
      <c r="D14" s="752"/>
      <c r="E14" s="752"/>
      <c r="F14" s="752"/>
      <c r="G14" s="752"/>
      <c r="H14" s="752"/>
      <c r="I14" s="753"/>
    </row>
    <row r="15" spans="1:13" s="408" customFormat="1" ht="18" customHeight="1">
      <c r="A15" s="410">
        <v>0</v>
      </c>
      <c r="B15" s="763" t="s">
        <v>46</v>
      </c>
      <c r="C15" s="764"/>
      <c r="D15" s="764"/>
      <c r="E15" s="764"/>
      <c r="F15" s="764"/>
      <c r="G15" s="764"/>
      <c r="H15" s="764"/>
      <c r="I15" s="765"/>
    </row>
    <row r="16" spans="1:13" s="408" customFormat="1" ht="9" customHeight="1">
      <c r="A16" s="412"/>
      <c r="B16" s="413"/>
      <c r="C16" s="413"/>
      <c r="D16" s="413"/>
      <c r="E16" s="413"/>
      <c r="F16" s="413"/>
      <c r="G16" s="414"/>
      <c r="H16" s="414"/>
      <c r="I16" s="415"/>
    </row>
    <row r="17" spans="1:10" s="408" customFormat="1" ht="20.100000000000001" customHeight="1">
      <c r="A17" s="766" t="s">
        <v>47</v>
      </c>
      <c r="B17" s="767"/>
      <c r="C17" s="767"/>
      <c r="D17" s="767"/>
      <c r="E17" s="767"/>
      <c r="F17" s="767"/>
      <c r="G17" s="767"/>
      <c r="H17" s="767"/>
      <c r="I17" s="768"/>
    </row>
    <row r="18" spans="1:10" s="408" customFormat="1" ht="16.5">
      <c r="A18" s="416"/>
      <c r="B18" s="405" t="str">
        <f>B4</f>
        <v>시공성</v>
      </c>
      <c r="C18" s="405" t="str">
        <f t="shared" ref="C18:I18" si="0">C4</f>
        <v>유지관리성</v>
      </c>
      <c r="D18" s="405" t="str">
        <f t="shared" si="0"/>
        <v>내구성</v>
      </c>
      <c r="E18" s="405" t="str">
        <f t="shared" si="0"/>
        <v>이용편의성</v>
      </c>
      <c r="F18" s="405" t="str">
        <f t="shared" si="0"/>
        <v>친환경성</v>
      </c>
      <c r="G18" s="405" t="str">
        <f t="shared" si="0"/>
        <v>배수성</v>
      </c>
      <c r="H18" s="405" t="str">
        <f t="shared" si="0"/>
        <v>교통안전성</v>
      </c>
      <c r="I18" s="406" t="str">
        <f t="shared" si="0"/>
        <v>민원성</v>
      </c>
      <c r="J18" s="407"/>
    </row>
    <row r="19" spans="1:10" s="408" customFormat="1" ht="123.75" customHeight="1" thickBot="1">
      <c r="A19" s="417" t="s">
        <v>48</v>
      </c>
      <c r="B19" s="418"/>
      <c r="C19" s="418"/>
      <c r="D19" s="418"/>
      <c r="E19" s="418"/>
      <c r="F19" s="418"/>
      <c r="G19" s="418"/>
      <c r="H19" s="418"/>
      <c r="I19" s="419"/>
    </row>
    <row r="20" spans="1:10">
      <c r="B20" s="420"/>
      <c r="C20" s="420"/>
      <c r="D20" s="420"/>
      <c r="E20" s="420"/>
      <c r="F20" s="420"/>
    </row>
    <row r="21" spans="1:10">
      <c r="B21" s="420"/>
      <c r="C21" s="420"/>
      <c r="D21" s="420"/>
      <c r="E21" s="420"/>
      <c r="F21" s="420"/>
    </row>
    <row r="22" spans="1:10">
      <c r="B22" s="420"/>
      <c r="C22" s="420"/>
      <c r="D22" s="420"/>
      <c r="E22" s="420"/>
      <c r="F22" s="420"/>
    </row>
    <row r="23" spans="1:10">
      <c r="B23" s="420"/>
      <c r="C23" s="420"/>
      <c r="D23" s="420"/>
      <c r="E23" s="420"/>
      <c r="F23" s="420"/>
    </row>
    <row r="24" spans="1:10">
      <c r="B24" s="420"/>
      <c r="C24" s="420"/>
      <c r="D24" s="420"/>
      <c r="E24" s="420"/>
      <c r="F24" s="420"/>
    </row>
    <row r="47" spans="2:6">
      <c r="B47" s="420"/>
      <c r="C47" s="421"/>
      <c r="D47" s="421"/>
      <c r="E47" s="421"/>
      <c r="F47" s="421"/>
    </row>
    <row r="48" spans="2:6">
      <c r="B48" s="420"/>
      <c r="C48" s="421"/>
      <c r="D48" s="421"/>
      <c r="E48" s="421"/>
      <c r="F48" s="421"/>
    </row>
    <row r="49" spans="2:6">
      <c r="B49" s="420"/>
      <c r="C49" s="421"/>
      <c r="D49" s="421"/>
      <c r="E49" s="421"/>
      <c r="F49" s="421"/>
    </row>
    <row r="50" spans="2:6">
      <c r="B50" s="420"/>
      <c r="C50" s="421"/>
      <c r="D50" s="421"/>
      <c r="E50" s="421"/>
      <c r="F50" s="421"/>
    </row>
    <row r="51" spans="2:6">
      <c r="B51" s="420"/>
      <c r="C51" s="421"/>
      <c r="D51" s="421"/>
      <c r="E51" s="421"/>
      <c r="F51" s="421"/>
    </row>
    <row r="52" spans="2:6">
      <c r="B52" s="420"/>
      <c r="C52" s="421"/>
      <c r="D52" s="421"/>
      <c r="E52" s="421"/>
      <c r="F52" s="421"/>
    </row>
    <row r="53" spans="2:6">
      <c r="B53" s="420"/>
      <c r="C53" s="421"/>
      <c r="D53" s="421"/>
      <c r="E53" s="421"/>
      <c r="F53" s="421"/>
    </row>
    <row r="54" spans="2:6">
      <c r="B54" s="420"/>
      <c r="C54" s="421"/>
      <c r="D54" s="421"/>
      <c r="E54" s="421"/>
      <c r="F54" s="421"/>
    </row>
    <row r="55" spans="2:6">
      <c r="B55" s="420"/>
      <c r="C55" s="421"/>
      <c r="D55" s="421"/>
      <c r="E55" s="421"/>
      <c r="F55" s="421"/>
    </row>
    <row r="56" spans="2:6">
      <c r="B56" s="420"/>
      <c r="C56" s="421"/>
      <c r="D56" s="421"/>
      <c r="E56" s="421"/>
      <c r="F56" s="421"/>
    </row>
  </sheetData>
  <mergeCells count="16">
    <mergeCell ref="B8:I8"/>
    <mergeCell ref="B9:I9"/>
    <mergeCell ref="B14:I14"/>
    <mergeCell ref="B15:I15"/>
    <mergeCell ref="A17:I17"/>
    <mergeCell ref="B10:I10"/>
    <mergeCell ref="B11:I11"/>
    <mergeCell ref="B12:I12"/>
    <mergeCell ref="B13:I13"/>
    <mergeCell ref="B6:I6"/>
    <mergeCell ref="B7:I7"/>
    <mergeCell ref="A1:I1"/>
    <mergeCell ref="A3:I3"/>
    <mergeCell ref="B5:I5"/>
    <mergeCell ref="A2:B2"/>
    <mergeCell ref="C2:H2"/>
  </mergeCells>
  <phoneticPr fontId="2" type="noConversion"/>
  <pageMargins left="0.78740157480314965" right="1.1811023622047245" top="0.78740157480314965" bottom="0.78740157480314965" header="0.55118110236220474" footer="0.59055118110236227"/>
  <pageSetup paperSize="9" scale="9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6"/>
  <sheetViews>
    <sheetView view="pageBreakPreview" zoomScale="115" zoomScaleNormal="100" zoomScaleSheetLayoutView="115" workbookViewId="0">
      <selection activeCell="B12" sqref="B12:I12"/>
    </sheetView>
  </sheetViews>
  <sheetFormatPr defaultRowHeight="15.75"/>
  <cols>
    <col min="1" max="1" width="5.6640625" style="28" customWidth="1"/>
    <col min="2" max="6" width="12.77734375" style="35" customWidth="1"/>
    <col min="7" max="9" width="12.77734375" style="28" customWidth="1"/>
    <col min="10" max="16384" width="8.88671875" style="28"/>
  </cols>
  <sheetData>
    <row r="1" spans="1:13" ht="30" customHeight="1">
      <c r="A1" s="749" t="s">
        <v>33</v>
      </c>
      <c r="B1" s="784"/>
      <c r="C1" s="784"/>
      <c r="D1" s="784"/>
      <c r="E1" s="784"/>
      <c r="F1" s="784"/>
      <c r="G1" s="784"/>
      <c r="H1" s="784"/>
      <c r="I1" s="750"/>
    </row>
    <row r="2" spans="1:13" ht="20.100000000000001" customHeight="1">
      <c r="A2" s="785" t="str">
        <f>'1a-Performance'!A2:B2</f>
        <v xml:space="preserve">VE Title : </v>
      </c>
      <c r="B2" s="786"/>
      <c r="C2" s="787" t="str">
        <f>'1a-Performance'!B2</f>
        <v>포장두께</v>
      </c>
      <c r="D2" s="787"/>
      <c r="E2" s="787"/>
      <c r="F2" s="787"/>
      <c r="G2" s="787"/>
      <c r="H2" s="787"/>
      <c r="I2" s="119"/>
    </row>
    <row r="3" spans="1:13" ht="20.100000000000001" customHeight="1">
      <c r="A3" s="788" t="s">
        <v>34</v>
      </c>
      <c r="B3" s="789"/>
      <c r="C3" s="789"/>
      <c r="D3" s="789"/>
      <c r="E3" s="789"/>
      <c r="F3" s="789"/>
      <c r="G3" s="789"/>
      <c r="H3" s="789"/>
      <c r="I3" s="790"/>
    </row>
    <row r="4" spans="1:13" s="33" customFormat="1" ht="20.100000000000001" customHeight="1">
      <c r="A4" s="135" t="s">
        <v>35</v>
      </c>
      <c r="B4" s="136"/>
      <c r="C4" s="136"/>
      <c r="D4" s="136"/>
      <c r="E4" s="136"/>
      <c r="F4" s="136"/>
      <c r="G4" s="136"/>
      <c r="H4" s="136"/>
      <c r="I4" s="137"/>
      <c r="J4" s="32"/>
      <c r="K4" s="32"/>
      <c r="L4" s="32"/>
      <c r="M4" s="32"/>
    </row>
    <row r="5" spans="1:13" s="33" customFormat="1" ht="18" customHeight="1">
      <c r="A5" s="138">
        <v>10</v>
      </c>
      <c r="B5" s="791" t="s">
        <v>36</v>
      </c>
      <c r="C5" s="792"/>
      <c r="D5" s="792"/>
      <c r="E5" s="792"/>
      <c r="F5" s="792"/>
      <c r="G5" s="792"/>
      <c r="H5" s="792"/>
      <c r="I5" s="793"/>
    </row>
    <row r="6" spans="1:13" s="33" customFormat="1" ht="18" customHeight="1">
      <c r="A6" s="139">
        <v>9</v>
      </c>
      <c r="B6" s="772" t="s">
        <v>37</v>
      </c>
      <c r="C6" s="773"/>
      <c r="D6" s="773"/>
      <c r="E6" s="773"/>
      <c r="F6" s="773"/>
      <c r="G6" s="773"/>
      <c r="H6" s="773"/>
      <c r="I6" s="774"/>
    </row>
    <row r="7" spans="1:13" s="33" customFormat="1" ht="18" customHeight="1">
      <c r="A7" s="139">
        <v>8</v>
      </c>
      <c r="B7" s="772" t="s">
        <v>38</v>
      </c>
      <c r="C7" s="773"/>
      <c r="D7" s="773"/>
      <c r="E7" s="773"/>
      <c r="F7" s="773"/>
      <c r="G7" s="773"/>
      <c r="H7" s="773"/>
      <c r="I7" s="774"/>
    </row>
    <row r="8" spans="1:13" s="33" customFormat="1" ht="18" customHeight="1">
      <c r="A8" s="139">
        <v>7</v>
      </c>
      <c r="B8" s="772" t="s">
        <v>39</v>
      </c>
      <c r="C8" s="773"/>
      <c r="D8" s="773"/>
      <c r="E8" s="773"/>
      <c r="F8" s="773"/>
      <c r="G8" s="773"/>
      <c r="H8" s="773"/>
      <c r="I8" s="774"/>
    </row>
    <row r="9" spans="1:13" s="33" customFormat="1" ht="18" customHeight="1">
      <c r="A9" s="139">
        <v>6</v>
      </c>
      <c r="B9" s="772" t="s">
        <v>40</v>
      </c>
      <c r="C9" s="773"/>
      <c r="D9" s="773"/>
      <c r="E9" s="773"/>
      <c r="F9" s="773"/>
      <c r="G9" s="773"/>
      <c r="H9" s="773"/>
      <c r="I9" s="774"/>
    </row>
    <row r="10" spans="1:13" s="33" customFormat="1" ht="18" customHeight="1">
      <c r="A10" s="140">
        <v>5</v>
      </c>
      <c r="B10" s="781" t="s">
        <v>41</v>
      </c>
      <c r="C10" s="782"/>
      <c r="D10" s="782"/>
      <c r="E10" s="782"/>
      <c r="F10" s="782"/>
      <c r="G10" s="782"/>
      <c r="H10" s="782"/>
      <c r="I10" s="783"/>
    </row>
    <row r="11" spans="1:13" s="33" customFormat="1" ht="18" customHeight="1">
      <c r="A11" s="139">
        <v>4</v>
      </c>
      <c r="B11" s="772" t="s">
        <v>42</v>
      </c>
      <c r="C11" s="773"/>
      <c r="D11" s="773"/>
      <c r="E11" s="773"/>
      <c r="F11" s="773"/>
      <c r="G11" s="773"/>
      <c r="H11" s="773"/>
      <c r="I11" s="774"/>
    </row>
    <row r="12" spans="1:13" s="33" customFormat="1" ht="18" customHeight="1">
      <c r="A12" s="139">
        <v>3</v>
      </c>
      <c r="B12" s="772" t="s">
        <v>43</v>
      </c>
      <c r="C12" s="773"/>
      <c r="D12" s="773"/>
      <c r="E12" s="773"/>
      <c r="F12" s="773"/>
      <c r="G12" s="773"/>
      <c r="H12" s="773"/>
      <c r="I12" s="774"/>
    </row>
    <row r="13" spans="1:13" s="33" customFormat="1" ht="18" customHeight="1">
      <c r="A13" s="139">
        <v>2</v>
      </c>
      <c r="B13" s="772" t="s">
        <v>44</v>
      </c>
      <c r="C13" s="773"/>
      <c r="D13" s="773"/>
      <c r="E13" s="773"/>
      <c r="F13" s="773"/>
      <c r="G13" s="773"/>
      <c r="H13" s="773"/>
      <c r="I13" s="774"/>
    </row>
    <row r="14" spans="1:13" s="33" customFormat="1" ht="18" customHeight="1">
      <c r="A14" s="139">
        <v>1</v>
      </c>
      <c r="B14" s="772" t="s">
        <v>45</v>
      </c>
      <c r="C14" s="773"/>
      <c r="D14" s="773"/>
      <c r="E14" s="773"/>
      <c r="F14" s="773"/>
      <c r="G14" s="773"/>
      <c r="H14" s="773"/>
      <c r="I14" s="774"/>
    </row>
    <row r="15" spans="1:13" s="33" customFormat="1" ht="18" customHeight="1">
      <c r="A15" s="139">
        <v>0</v>
      </c>
      <c r="B15" s="775" t="s">
        <v>46</v>
      </c>
      <c r="C15" s="776"/>
      <c r="D15" s="776"/>
      <c r="E15" s="776"/>
      <c r="F15" s="776"/>
      <c r="G15" s="776"/>
      <c r="H15" s="776"/>
      <c r="I15" s="777"/>
    </row>
    <row r="16" spans="1:13" s="33" customFormat="1" ht="9" customHeight="1">
      <c r="A16" s="141"/>
      <c r="B16" s="142"/>
      <c r="C16" s="142"/>
      <c r="D16" s="142"/>
      <c r="E16" s="142"/>
      <c r="F16" s="142"/>
      <c r="G16" s="143"/>
      <c r="H16" s="143"/>
      <c r="I16" s="144"/>
    </row>
    <row r="17" spans="1:10" s="33" customFormat="1" ht="20.100000000000001" customHeight="1">
      <c r="A17" s="778" t="s">
        <v>47</v>
      </c>
      <c r="B17" s="779"/>
      <c r="C17" s="779"/>
      <c r="D17" s="779"/>
      <c r="E17" s="779"/>
      <c r="F17" s="779"/>
      <c r="G17" s="779"/>
      <c r="H17" s="779"/>
      <c r="I17" s="780"/>
    </row>
    <row r="18" spans="1:10" s="33" customFormat="1" ht="20.100000000000001" customHeight="1">
      <c r="A18" s="145"/>
      <c r="B18" s="136">
        <f>B4</f>
        <v>0</v>
      </c>
      <c r="C18" s="136">
        <f t="shared" ref="C18:I18" si="0">C4</f>
        <v>0</v>
      </c>
      <c r="D18" s="136">
        <f t="shared" si="0"/>
        <v>0</v>
      </c>
      <c r="E18" s="136">
        <f t="shared" si="0"/>
        <v>0</v>
      </c>
      <c r="F18" s="136">
        <f t="shared" si="0"/>
        <v>0</v>
      </c>
      <c r="G18" s="136">
        <f t="shared" si="0"/>
        <v>0</v>
      </c>
      <c r="H18" s="136">
        <f t="shared" si="0"/>
        <v>0</v>
      </c>
      <c r="I18" s="137">
        <f t="shared" si="0"/>
        <v>0</v>
      </c>
      <c r="J18" s="32"/>
    </row>
    <row r="19" spans="1:10" s="33" customFormat="1" ht="140.25" customHeight="1" thickBot="1">
      <c r="A19" s="146" t="s">
        <v>48</v>
      </c>
      <c r="B19" s="147"/>
      <c r="C19" s="147"/>
      <c r="D19" s="147"/>
      <c r="E19" s="147"/>
      <c r="F19" s="147"/>
      <c r="G19" s="147"/>
      <c r="H19" s="147"/>
      <c r="I19" s="148"/>
    </row>
    <row r="20" spans="1:10">
      <c r="B20" s="34"/>
      <c r="C20" s="34"/>
      <c r="D20" s="34"/>
      <c r="E20" s="34"/>
      <c r="F20" s="34"/>
    </row>
    <row r="21" spans="1:10">
      <c r="B21" s="34"/>
      <c r="C21" s="34"/>
      <c r="D21" s="34"/>
      <c r="E21" s="34"/>
      <c r="F21" s="34"/>
    </row>
    <row r="22" spans="1:10">
      <c r="B22" s="34"/>
      <c r="C22" s="34"/>
      <c r="D22" s="34"/>
      <c r="E22" s="34"/>
      <c r="F22" s="34"/>
    </row>
    <row r="23" spans="1:10">
      <c r="B23" s="34"/>
      <c r="C23" s="34"/>
      <c r="D23" s="34"/>
      <c r="E23" s="34"/>
      <c r="F23" s="34"/>
    </row>
    <row r="24" spans="1:10">
      <c r="B24" s="34"/>
      <c r="C24" s="34"/>
      <c r="D24" s="34"/>
      <c r="E24" s="34"/>
      <c r="F24" s="34"/>
    </row>
    <row r="47" spans="2:6">
      <c r="B47" s="34"/>
      <c r="C47" s="36"/>
      <c r="D47" s="36"/>
      <c r="E47" s="36"/>
      <c r="F47" s="36"/>
    </row>
    <row r="48" spans="2:6">
      <c r="B48" s="34"/>
      <c r="C48" s="36"/>
      <c r="D48" s="36"/>
      <c r="E48" s="36"/>
      <c r="F48" s="36"/>
    </row>
    <row r="49" spans="2:6">
      <c r="B49" s="34"/>
      <c r="C49" s="36"/>
      <c r="D49" s="36"/>
      <c r="E49" s="36"/>
      <c r="F49" s="36"/>
    </row>
    <row r="50" spans="2:6">
      <c r="B50" s="34"/>
      <c r="C50" s="36"/>
      <c r="D50" s="36"/>
      <c r="E50" s="36"/>
      <c r="F50" s="36"/>
    </row>
    <row r="51" spans="2:6">
      <c r="B51" s="34"/>
      <c r="C51" s="36"/>
      <c r="D51" s="36"/>
      <c r="E51" s="36"/>
      <c r="F51" s="36"/>
    </row>
    <row r="52" spans="2:6">
      <c r="B52" s="34"/>
      <c r="C52" s="36"/>
      <c r="D52" s="36"/>
      <c r="E52" s="36"/>
      <c r="F52" s="36"/>
    </row>
    <row r="53" spans="2:6">
      <c r="B53" s="34"/>
      <c r="C53" s="36"/>
      <c r="D53" s="36"/>
      <c r="E53" s="36"/>
      <c r="F53" s="36"/>
    </row>
    <row r="54" spans="2:6">
      <c r="B54" s="34"/>
      <c r="C54" s="36"/>
      <c r="D54" s="36"/>
      <c r="E54" s="36"/>
      <c r="F54" s="36"/>
    </row>
    <row r="55" spans="2:6">
      <c r="B55" s="34"/>
      <c r="C55" s="36"/>
      <c r="D55" s="36"/>
      <c r="E55" s="36"/>
      <c r="F55" s="36"/>
    </row>
    <row r="56" spans="2:6">
      <c r="B56" s="34"/>
      <c r="C56" s="36"/>
      <c r="D56" s="36"/>
      <c r="E56" s="36"/>
      <c r="F56" s="36"/>
    </row>
  </sheetData>
  <mergeCells count="16">
    <mergeCell ref="B6:I6"/>
    <mergeCell ref="A1:I1"/>
    <mergeCell ref="A2:B2"/>
    <mergeCell ref="C2:H2"/>
    <mergeCell ref="A3:I3"/>
    <mergeCell ref="B5:I5"/>
    <mergeCell ref="B13:I13"/>
    <mergeCell ref="B14:I14"/>
    <mergeCell ref="B15:I15"/>
    <mergeCell ref="A17:I17"/>
    <mergeCell ref="B7:I7"/>
    <mergeCell ref="B8:I8"/>
    <mergeCell ref="B9:I9"/>
    <mergeCell ref="B10:I10"/>
    <mergeCell ref="B11:I11"/>
    <mergeCell ref="B12:I12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6"/>
  <sheetViews>
    <sheetView view="pageBreakPreview" zoomScale="115" zoomScaleNormal="100" zoomScaleSheetLayoutView="115" workbookViewId="0">
      <selection activeCell="D19" sqref="D19"/>
    </sheetView>
  </sheetViews>
  <sheetFormatPr defaultRowHeight="15.75"/>
  <cols>
    <col min="1" max="1" width="5.6640625" style="28" customWidth="1"/>
    <col min="2" max="6" width="12.77734375" style="35" customWidth="1"/>
    <col min="7" max="9" width="12.77734375" style="28" customWidth="1"/>
    <col min="10" max="16384" width="8.88671875" style="28"/>
  </cols>
  <sheetData>
    <row r="1" spans="1:13" ht="30" customHeight="1">
      <c r="A1" s="749" t="s">
        <v>33</v>
      </c>
      <c r="B1" s="784"/>
      <c r="C1" s="784"/>
      <c r="D1" s="784"/>
      <c r="E1" s="784"/>
      <c r="F1" s="784"/>
      <c r="G1" s="784"/>
      <c r="H1" s="784"/>
      <c r="I1" s="750"/>
    </row>
    <row r="2" spans="1:13" ht="20.100000000000001" customHeight="1">
      <c r="A2" s="785" t="str">
        <f>'1a-Performance'!A2:B2</f>
        <v xml:space="preserve">VE Title : </v>
      </c>
      <c r="B2" s="786"/>
      <c r="C2" s="787" t="str">
        <f>'1a-Performance'!B2</f>
        <v>포장두께</v>
      </c>
      <c r="D2" s="787"/>
      <c r="E2" s="787"/>
      <c r="F2" s="787"/>
      <c r="G2" s="787"/>
      <c r="H2" s="787"/>
      <c r="I2" s="119"/>
    </row>
    <row r="3" spans="1:13" ht="20.100000000000001" customHeight="1">
      <c r="A3" s="788" t="s">
        <v>34</v>
      </c>
      <c r="B3" s="789"/>
      <c r="C3" s="789"/>
      <c r="D3" s="789"/>
      <c r="E3" s="789"/>
      <c r="F3" s="789"/>
      <c r="G3" s="789"/>
      <c r="H3" s="789"/>
      <c r="I3" s="790"/>
    </row>
    <row r="4" spans="1:13" s="33" customFormat="1" ht="20.100000000000001" customHeight="1">
      <c r="A4" s="135" t="s">
        <v>35</v>
      </c>
      <c r="B4" s="136"/>
      <c r="C4" s="136"/>
      <c r="D4" s="136"/>
      <c r="E4" s="136"/>
      <c r="F4" s="136"/>
      <c r="G4" s="136"/>
      <c r="H4" s="136"/>
      <c r="I4" s="137"/>
      <c r="J4" s="32"/>
      <c r="K4" s="32"/>
      <c r="L4" s="32"/>
      <c r="M4" s="32"/>
    </row>
    <row r="5" spans="1:13" s="33" customFormat="1" ht="18" customHeight="1">
      <c r="A5" s="138">
        <v>10</v>
      </c>
      <c r="B5" s="772" t="s">
        <v>54</v>
      </c>
      <c r="C5" s="773"/>
      <c r="D5" s="773"/>
      <c r="E5" s="773"/>
      <c r="F5" s="773"/>
      <c r="G5" s="773"/>
      <c r="H5" s="773"/>
      <c r="I5" s="774"/>
    </row>
    <row r="6" spans="1:13" s="33" customFormat="1" ht="18" customHeight="1">
      <c r="A6" s="139">
        <v>9</v>
      </c>
      <c r="B6" s="772" t="s">
        <v>53</v>
      </c>
      <c r="C6" s="773"/>
      <c r="D6" s="773"/>
      <c r="E6" s="773"/>
      <c r="F6" s="773"/>
      <c r="G6" s="773"/>
      <c r="H6" s="773"/>
      <c r="I6" s="774"/>
    </row>
    <row r="7" spans="1:13" s="33" customFormat="1" ht="18" customHeight="1">
      <c r="A7" s="139">
        <v>8</v>
      </c>
      <c r="B7" s="772" t="s">
        <v>52</v>
      </c>
      <c r="C7" s="773"/>
      <c r="D7" s="773"/>
      <c r="E7" s="773"/>
      <c r="F7" s="773"/>
      <c r="G7" s="773"/>
      <c r="H7" s="773"/>
      <c r="I7" s="774"/>
    </row>
    <row r="8" spans="1:13" s="33" customFormat="1" ht="18" customHeight="1">
      <c r="A8" s="139">
        <v>7</v>
      </c>
      <c r="B8" s="772" t="s">
        <v>51</v>
      </c>
      <c r="C8" s="773"/>
      <c r="D8" s="773"/>
      <c r="E8" s="773"/>
      <c r="F8" s="773"/>
      <c r="G8" s="773"/>
      <c r="H8" s="773"/>
      <c r="I8" s="774"/>
    </row>
    <row r="9" spans="1:13" s="33" customFormat="1" ht="18" customHeight="1">
      <c r="A9" s="139">
        <v>6</v>
      </c>
      <c r="B9" s="772" t="s">
        <v>49</v>
      </c>
      <c r="C9" s="773"/>
      <c r="D9" s="773"/>
      <c r="E9" s="773"/>
      <c r="F9" s="773"/>
      <c r="G9" s="773"/>
      <c r="H9" s="773"/>
      <c r="I9" s="774"/>
    </row>
    <row r="10" spans="1:13" s="33" customFormat="1" ht="18" customHeight="1">
      <c r="A10" s="140">
        <v>5</v>
      </c>
      <c r="B10" s="781" t="s">
        <v>59</v>
      </c>
      <c r="C10" s="782"/>
      <c r="D10" s="782"/>
      <c r="E10" s="782"/>
      <c r="F10" s="782"/>
      <c r="G10" s="782"/>
      <c r="H10" s="782"/>
      <c r="I10" s="783"/>
    </row>
    <row r="11" spans="1:13" s="33" customFormat="1" ht="18" customHeight="1">
      <c r="A11" s="139">
        <v>4</v>
      </c>
      <c r="B11" s="772" t="s">
        <v>50</v>
      </c>
      <c r="C11" s="773"/>
      <c r="D11" s="773"/>
      <c r="E11" s="773"/>
      <c r="F11" s="773"/>
      <c r="G11" s="773"/>
      <c r="H11" s="773"/>
      <c r="I11" s="774"/>
    </row>
    <row r="12" spans="1:13" s="33" customFormat="1" ht="18" customHeight="1">
      <c r="A12" s="139">
        <v>3</v>
      </c>
      <c r="B12" s="772" t="s">
        <v>55</v>
      </c>
      <c r="C12" s="773"/>
      <c r="D12" s="773"/>
      <c r="E12" s="773"/>
      <c r="F12" s="773"/>
      <c r="G12" s="773"/>
      <c r="H12" s="773"/>
      <c r="I12" s="774"/>
    </row>
    <row r="13" spans="1:13" s="33" customFormat="1" ht="18" customHeight="1">
      <c r="A13" s="139">
        <v>2</v>
      </c>
      <c r="B13" s="772" t="s">
        <v>56</v>
      </c>
      <c r="C13" s="773"/>
      <c r="D13" s="773"/>
      <c r="E13" s="773"/>
      <c r="F13" s="773"/>
      <c r="G13" s="773"/>
      <c r="H13" s="773"/>
      <c r="I13" s="774"/>
    </row>
    <row r="14" spans="1:13" s="33" customFormat="1" ht="18" customHeight="1">
      <c r="A14" s="139">
        <v>1</v>
      </c>
      <c r="B14" s="772" t="s">
        <v>57</v>
      </c>
      <c r="C14" s="773"/>
      <c r="D14" s="773"/>
      <c r="E14" s="773"/>
      <c r="F14" s="773"/>
      <c r="G14" s="773"/>
      <c r="H14" s="773"/>
      <c r="I14" s="774"/>
    </row>
    <row r="15" spans="1:13" s="33" customFormat="1" ht="18" customHeight="1">
      <c r="A15" s="139">
        <v>0</v>
      </c>
      <c r="B15" s="772" t="s">
        <v>58</v>
      </c>
      <c r="C15" s="773"/>
      <c r="D15" s="773"/>
      <c r="E15" s="773"/>
      <c r="F15" s="773"/>
      <c r="G15" s="773"/>
      <c r="H15" s="773"/>
      <c r="I15" s="774"/>
    </row>
    <row r="16" spans="1:13" s="33" customFormat="1" ht="9" customHeight="1">
      <c r="A16" s="141"/>
      <c r="B16" s="142"/>
      <c r="C16" s="142"/>
      <c r="D16" s="142"/>
      <c r="E16" s="142"/>
      <c r="F16" s="142"/>
      <c r="G16" s="143"/>
      <c r="H16" s="143"/>
      <c r="I16" s="144"/>
    </row>
    <row r="17" spans="1:10" s="33" customFormat="1" ht="20.100000000000001" customHeight="1">
      <c r="A17" s="778" t="s">
        <v>47</v>
      </c>
      <c r="B17" s="779"/>
      <c r="C17" s="779"/>
      <c r="D17" s="779"/>
      <c r="E17" s="779"/>
      <c r="F17" s="779"/>
      <c r="G17" s="779"/>
      <c r="H17" s="779"/>
      <c r="I17" s="780"/>
    </row>
    <row r="18" spans="1:10" s="33" customFormat="1" ht="20.100000000000001" customHeight="1">
      <c r="A18" s="145"/>
      <c r="B18" s="136">
        <f t="shared" ref="B18:I18" si="0">B4</f>
        <v>0</v>
      </c>
      <c r="C18" s="136">
        <f t="shared" si="0"/>
        <v>0</v>
      </c>
      <c r="D18" s="136">
        <f t="shared" si="0"/>
        <v>0</v>
      </c>
      <c r="E18" s="136">
        <f t="shared" si="0"/>
        <v>0</v>
      </c>
      <c r="F18" s="136">
        <f t="shared" si="0"/>
        <v>0</v>
      </c>
      <c r="G18" s="136">
        <f t="shared" si="0"/>
        <v>0</v>
      </c>
      <c r="H18" s="136">
        <f t="shared" si="0"/>
        <v>0</v>
      </c>
      <c r="I18" s="137">
        <f t="shared" si="0"/>
        <v>0</v>
      </c>
      <c r="J18" s="32"/>
    </row>
    <row r="19" spans="1:10" s="33" customFormat="1" ht="140.25" customHeight="1" thickBot="1">
      <c r="A19" s="146" t="s">
        <v>48</v>
      </c>
      <c r="B19" s="147"/>
      <c r="C19" s="147"/>
      <c r="D19" s="147"/>
      <c r="E19" s="147"/>
      <c r="F19" s="147"/>
      <c r="G19" s="147"/>
      <c r="H19" s="147"/>
      <c r="I19" s="148"/>
    </row>
    <row r="20" spans="1:10">
      <c r="B20" s="34"/>
      <c r="C20" s="34"/>
      <c r="D20" s="34"/>
      <c r="E20" s="34"/>
      <c r="F20" s="34"/>
    </row>
    <row r="21" spans="1:10">
      <c r="B21" s="34"/>
      <c r="C21" s="34"/>
      <c r="D21" s="34"/>
      <c r="E21" s="34"/>
      <c r="F21" s="34"/>
    </row>
    <row r="22" spans="1:10">
      <c r="B22" s="34"/>
      <c r="C22" s="34"/>
      <c r="D22" s="34"/>
      <c r="E22" s="34"/>
      <c r="F22" s="34"/>
    </row>
    <row r="23" spans="1:10">
      <c r="B23" s="34"/>
      <c r="C23" s="34"/>
      <c r="D23" s="34"/>
      <c r="E23" s="34"/>
      <c r="F23" s="34"/>
    </row>
    <row r="24" spans="1:10">
      <c r="B24" s="34"/>
      <c r="C24" s="34"/>
      <c r="D24" s="34"/>
      <c r="E24" s="34"/>
      <c r="F24" s="34"/>
    </row>
    <row r="47" spans="2:6">
      <c r="B47" s="34"/>
      <c r="C47" s="36"/>
      <c r="D47" s="36"/>
      <c r="E47" s="36"/>
      <c r="F47" s="36"/>
    </row>
    <row r="48" spans="2:6">
      <c r="B48" s="34"/>
      <c r="C48" s="36"/>
      <c r="D48" s="36"/>
      <c r="E48" s="36"/>
      <c r="F48" s="36"/>
    </row>
    <row r="49" spans="2:6">
      <c r="B49" s="34"/>
      <c r="C49" s="36"/>
      <c r="D49" s="36"/>
      <c r="E49" s="36"/>
      <c r="F49" s="36"/>
    </row>
    <row r="50" spans="2:6">
      <c r="B50" s="34"/>
      <c r="C50" s="36"/>
      <c r="D50" s="36"/>
      <c r="E50" s="36"/>
      <c r="F50" s="36"/>
    </row>
    <row r="51" spans="2:6">
      <c r="B51" s="34"/>
      <c r="C51" s="36"/>
      <c r="D51" s="36"/>
      <c r="E51" s="36"/>
      <c r="F51" s="36"/>
    </row>
    <row r="52" spans="2:6">
      <c r="B52" s="34"/>
      <c r="C52" s="36"/>
      <c r="D52" s="36"/>
      <c r="E52" s="36"/>
      <c r="F52" s="36"/>
    </row>
    <row r="53" spans="2:6">
      <c r="B53" s="34"/>
      <c r="C53" s="36"/>
      <c r="D53" s="36"/>
      <c r="E53" s="36"/>
      <c r="F53" s="36"/>
    </row>
    <row r="54" spans="2:6">
      <c r="B54" s="34"/>
      <c r="C54" s="36"/>
      <c r="D54" s="36"/>
      <c r="E54" s="36"/>
      <c r="F54" s="36"/>
    </row>
    <row r="55" spans="2:6">
      <c r="B55" s="34"/>
      <c r="C55" s="36"/>
      <c r="D55" s="36"/>
      <c r="E55" s="36"/>
      <c r="F55" s="36"/>
    </row>
    <row r="56" spans="2:6">
      <c r="B56" s="34"/>
      <c r="C56" s="36"/>
      <c r="D56" s="36"/>
      <c r="E56" s="36"/>
      <c r="F56" s="36"/>
    </row>
  </sheetData>
  <mergeCells count="16">
    <mergeCell ref="B8:I8"/>
    <mergeCell ref="B9:I9"/>
    <mergeCell ref="B14:I14"/>
    <mergeCell ref="B15:I15"/>
    <mergeCell ref="A17:I17"/>
    <mergeCell ref="B10:I10"/>
    <mergeCell ref="B11:I11"/>
    <mergeCell ref="B12:I12"/>
    <mergeCell ref="B13:I13"/>
    <mergeCell ref="B6:I6"/>
    <mergeCell ref="B7:I7"/>
    <mergeCell ref="A1:I1"/>
    <mergeCell ref="A3:I3"/>
    <mergeCell ref="B5:I5"/>
    <mergeCell ref="A2:B2"/>
    <mergeCell ref="C2:H2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6"/>
  <sheetViews>
    <sheetView view="pageBreakPreview" zoomScale="115" zoomScaleNormal="100" zoomScaleSheetLayoutView="115" workbookViewId="0">
      <selection activeCell="F8" sqref="F8:I8"/>
    </sheetView>
  </sheetViews>
  <sheetFormatPr defaultRowHeight="15.75"/>
  <cols>
    <col min="1" max="1" width="5.6640625" style="28" customWidth="1"/>
    <col min="2" max="6" width="12.77734375" style="35" customWidth="1"/>
    <col min="7" max="9" width="12.77734375" style="28" customWidth="1"/>
    <col min="10" max="16384" width="8.88671875" style="28"/>
  </cols>
  <sheetData>
    <row r="1" spans="1:13" ht="30" customHeight="1">
      <c r="A1" s="749" t="s">
        <v>33</v>
      </c>
      <c r="B1" s="784"/>
      <c r="C1" s="784"/>
      <c r="D1" s="784"/>
      <c r="E1" s="784"/>
      <c r="F1" s="784"/>
      <c r="G1" s="784"/>
      <c r="H1" s="784"/>
      <c r="I1" s="750"/>
    </row>
    <row r="2" spans="1:13" ht="20.100000000000001" customHeight="1">
      <c r="A2" s="785" t="str">
        <f>'1a-Performance'!A2:B2</f>
        <v xml:space="preserve">VE Title : </v>
      </c>
      <c r="B2" s="786"/>
      <c r="C2" s="787" t="str">
        <f>'1a-Performance'!B2</f>
        <v>포장두께</v>
      </c>
      <c r="D2" s="787"/>
      <c r="E2" s="787"/>
      <c r="F2" s="787"/>
      <c r="G2" s="787"/>
      <c r="H2" s="787"/>
      <c r="I2" s="119"/>
    </row>
    <row r="3" spans="1:13" ht="20.100000000000001" customHeight="1">
      <c r="A3" s="788" t="s">
        <v>34</v>
      </c>
      <c r="B3" s="789"/>
      <c r="C3" s="789"/>
      <c r="D3" s="789"/>
      <c r="E3" s="789"/>
      <c r="F3" s="789"/>
      <c r="G3" s="789"/>
      <c r="H3" s="789"/>
      <c r="I3" s="790"/>
    </row>
    <row r="4" spans="1:13" s="33" customFormat="1" ht="20.100000000000001" customHeight="1">
      <c r="A4" s="135" t="s">
        <v>35</v>
      </c>
      <c r="B4" s="136"/>
      <c r="C4" s="136"/>
      <c r="D4" s="136"/>
      <c r="E4" s="136"/>
      <c r="F4" s="136"/>
      <c r="G4" s="136"/>
      <c r="H4" s="136"/>
      <c r="I4" s="137"/>
      <c r="J4" s="32"/>
      <c r="K4" s="32"/>
      <c r="L4" s="32"/>
      <c r="M4" s="32"/>
    </row>
    <row r="5" spans="1:13" s="33" customFormat="1" ht="18" customHeight="1">
      <c r="A5" s="138">
        <v>10</v>
      </c>
      <c r="B5" s="791" t="s">
        <v>126</v>
      </c>
      <c r="C5" s="792"/>
      <c r="D5" s="792"/>
      <c r="E5" s="794"/>
      <c r="F5" s="791" t="s">
        <v>145</v>
      </c>
      <c r="G5" s="792"/>
      <c r="H5" s="792"/>
      <c r="I5" s="793"/>
    </row>
    <row r="6" spans="1:13" s="33" customFormat="1" ht="18" customHeight="1">
      <c r="A6" s="139">
        <v>9</v>
      </c>
      <c r="B6" s="772" t="s">
        <v>127</v>
      </c>
      <c r="C6" s="773"/>
      <c r="D6" s="773"/>
      <c r="E6" s="795"/>
      <c r="F6" s="772" t="s">
        <v>135</v>
      </c>
      <c r="G6" s="773"/>
      <c r="H6" s="773"/>
      <c r="I6" s="774"/>
    </row>
    <row r="7" spans="1:13" s="33" customFormat="1" ht="18" customHeight="1">
      <c r="A7" s="139">
        <v>8</v>
      </c>
      <c r="B7" s="772" t="s">
        <v>128</v>
      </c>
      <c r="C7" s="773"/>
      <c r="D7" s="773"/>
      <c r="E7" s="795"/>
      <c r="F7" s="772" t="s">
        <v>134</v>
      </c>
      <c r="G7" s="773"/>
      <c r="H7" s="773"/>
      <c r="I7" s="774"/>
    </row>
    <row r="8" spans="1:13" s="33" customFormat="1" ht="18" customHeight="1">
      <c r="A8" s="139">
        <v>7</v>
      </c>
      <c r="B8" s="772" t="s">
        <v>129</v>
      </c>
      <c r="C8" s="773"/>
      <c r="D8" s="773"/>
      <c r="E8" s="795"/>
      <c r="F8" s="772" t="s">
        <v>133</v>
      </c>
      <c r="G8" s="773"/>
      <c r="H8" s="773"/>
      <c r="I8" s="774"/>
    </row>
    <row r="9" spans="1:13" s="33" customFormat="1" ht="18" customHeight="1">
      <c r="A9" s="139">
        <v>6</v>
      </c>
      <c r="B9" s="772" t="s">
        <v>130</v>
      </c>
      <c r="C9" s="773"/>
      <c r="D9" s="773"/>
      <c r="E9" s="795"/>
      <c r="F9" s="772" t="s">
        <v>132</v>
      </c>
      <c r="G9" s="773"/>
      <c r="H9" s="773"/>
      <c r="I9" s="774"/>
    </row>
    <row r="10" spans="1:13" s="33" customFormat="1" ht="18" customHeight="1">
      <c r="A10" s="140">
        <v>5</v>
      </c>
      <c r="B10" s="781" t="s">
        <v>131</v>
      </c>
      <c r="C10" s="782"/>
      <c r="D10" s="782"/>
      <c r="E10" s="796"/>
      <c r="F10" s="781" t="s">
        <v>131</v>
      </c>
      <c r="G10" s="782"/>
      <c r="H10" s="782"/>
      <c r="I10" s="783"/>
    </row>
    <row r="11" spans="1:13" s="33" customFormat="1" ht="18" customHeight="1">
      <c r="A11" s="139">
        <v>4</v>
      </c>
      <c r="B11" s="772" t="s">
        <v>132</v>
      </c>
      <c r="C11" s="773"/>
      <c r="D11" s="773"/>
      <c r="E11" s="795"/>
      <c r="F11" s="772" t="s">
        <v>130</v>
      </c>
      <c r="G11" s="773"/>
      <c r="H11" s="773"/>
      <c r="I11" s="774"/>
    </row>
    <row r="12" spans="1:13" s="33" customFormat="1" ht="18" customHeight="1">
      <c r="A12" s="139">
        <v>3</v>
      </c>
      <c r="B12" s="772" t="s">
        <v>133</v>
      </c>
      <c r="C12" s="773"/>
      <c r="D12" s="773"/>
      <c r="E12" s="795"/>
      <c r="F12" s="772" t="s">
        <v>129</v>
      </c>
      <c r="G12" s="773"/>
      <c r="H12" s="773"/>
      <c r="I12" s="774"/>
    </row>
    <row r="13" spans="1:13" s="33" customFormat="1" ht="18" customHeight="1">
      <c r="A13" s="139">
        <v>2</v>
      </c>
      <c r="B13" s="772" t="s">
        <v>134</v>
      </c>
      <c r="C13" s="773"/>
      <c r="D13" s="773"/>
      <c r="E13" s="795"/>
      <c r="F13" s="772" t="s">
        <v>128</v>
      </c>
      <c r="G13" s="773"/>
      <c r="H13" s="773"/>
      <c r="I13" s="774"/>
    </row>
    <row r="14" spans="1:13" s="33" customFormat="1" ht="18" customHeight="1">
      <c r="A14" s="139">
        <v>1</v>
      </c>
      <c r="B14" s="772" t="s">
        <v>135</v>
      </c>
      <c r="C14" s="773"/>
      <c r="D14" s="773"/>
      <c r="E14" s="795"/>
      <c r="F14" s="772" t="s">
        <v>127</v>
      </c>
      <c r="G14" s="773"/>
      <c r="H14" s="773"/>
      <c r="I14" s="774"/>
    </row>
    <row r="15" spans="1:13" s="33" customFormat="1" ht="18" customHeight="1">
      <c r="A15" s="139">
        <v>0</v>
      </c>
      <c r="B15" s="775" t="s">
        <v>145</v>
      </c>
      <c r="C15" s="776"/>
      <c r="D15" s="776"/>
      <c r="E15" s="797"/>
      <c r="F15" s="775" t="s">
        <v>126</v>
      </c>
      <c r="G15" s="776"/>
      <c r="H15" s="776"/>
      <c r="I15" s="777"/>
    </row>
    <row r="16" spans="1:13" s="33" customFormat="1" ht="9" customHeight="1">
      <c r="A16" s="141"/>
      <c r="B16" s="142"/>
      <c r="C16" s="142"/>
      <c r="D16" s="142"/>
      <c r="E16" s="142"/>
      <c r="F16" s="142"/>
      <c r="G16" s="143"/>
      <c r="H16" s="143"/>
      <c r="I16" s="144"/>
    </row>
    <row r="17" spans="1:10" s="33" customFormat="1" ht="20.100000000000001" customHeight="1">
      <c r="A17" s="778" t="s">
        <v>47</v>
      </c>
      <c r="B17" s="779"/>
      <c r="C17" s="779"/>
      <c r="D17" s="779"/>
      <c r="E17" s="779"/>
      <c r="F17" s="779"/>
      <c r="G17" s="779"/>
      <c r="H17" s="779"/>
      <c r="I17" s="780"/>
    </row>
    <row r="18" spans="1:10" s="33" customFormat="1" ht="20.100000000000001" customHeight="1">
      <c r="A18" s="145"/>
      <c r="B18" s="136">
        <f>B4</f>
        <v>0</v>
      </c>
      <c r="C18" s="136">
        <f t="shared" ref="C18:I18" si="0">C4</f>
        <v>0</v>
      </c>
      <c r="D18" s="136">
        <f t="shared" si="0"/>
        <v>0</v>
      </c>
      <c r="E18" s="136">
        <f t="shared" si="0"/>
        <v>0</v>
      </c>
      <c r="F18" s="136">
        <f t="shared" si="0"/>
        <v>0</v>
      </c>
      <c r="G18" s="136">
        <f t="shared" si="0"/>
        <v>0</v>
      </c>
      <c r="H18" s="136">
        <f t="shared" si="0"/>
        <v>0</v>
      </c>
      <c r="I18" s="137">
        <f t="shared" si="0"/>
        <v>0</v>
      </c>
      <c r="J18" s="32"/>
    </row>
    <row r="19" spans="1:10" s="33" customFormat="1" ht="140.25" customHeight="1" thickBot="1">
      <c r="A19" s="146" t="s">
        <v>48</v>
      </c>
      <c r="B19" s="147"/>
      <c r="C19" s="147"/>
      <c r="D19" s="147"/>
      <c r="E19" s="147"/>
      <c r="F19" s="147"/>
      <c r="G19" s="147"/>
      <c r="H19" s="147"/>
      <c r="I19" s="148"/>
    </row>
    <row r="20" spans="1:10">
      <c r="B20" s="34"/>
      <c r="C20" s="34"/>
      <c r="D20" s="34"/>
      <c r="E20" s="34"/>
      <c r="F20" s="34"/>
    </row>
    <row r="21" spans="1:10">
      <c r="B21" s="34"/>
      <c r="C21" s="34"/>
      <c r="D21" s="34"/>
      <c r="E21" s="34"/>
      <c r="F21" s="34"/>
    </row>
    <row r="22" spans="1:10">
      <c r="B22" s="34"/>
      <c r="C22" s="34"/>
      <c r="D22" s="34"/>
      <c r="E22" s="34"/>
      <c r="F22" s="34"/>
    </row>
    <row r="23" spans="1:10">
      <c r="B23" s="34"/>
      <c r="C23" s="34"/>
      <c r="D23" s="34"/>
      <c r="E23" s="34"/>
      <c r="F23" s="34"/>
    </row>
    <row r="24" spans="1:10">
      <c r="B24" s="34"/>
      <c r="C24" s="34"/>
      <c r="D24" s="34"/>
      <c r="E24" s="34"/>
      <c r="F24" s="34"/>
    </row>
    <row r="47" spans="2:6">
      <c r="B47" s="34"/>
      <c r="C47" s="36"/>
      <c r="D47" s="36"/>
      <c r="E47" s="36"/>
      <c r="F47" s="36"/>
    </row>
    <row r="48" spans="2:6">
      <c r="B48" s="34"/>
      <c r="C48" s="36"/>
      <c r="D48" s="36"/>
      <c r="E48" s="36"/>
      <c r="F48" s="36"/>
    </row>
    <row r="49" spans="2:6">
      <c r="B49" s="34"/>
      <c r="C49" s="36"/>
      <c r="D49" s="36"/>
      <c r="E49" s="36"/>
      <c r="F49" s="36"/>
    </row>
    <row r="50" spans="2:6">
      <c r="B50" s="34"/>
      <c r="C50" s="36"/>
      <c r="D50" s="36"/>
      <c r="E50" s="36"/>
      <c r="F50" s="36"/>
    </row>
    <row r="51" spans="2:6">
      <c r="B51" s="34"/>
      <c r="C51" s="36"/>
      <c r="D51" s="36"/>
      <c r="E51" s="36"/>
      <c r="F51" s="36"/>
    </row>
    <row r="52" spans="2:6">
      <c r="B52" s="34"/>
      <c r="C52" s="36"/>
      <c r="D52" s="36"/>
      <c r="E52" s="36"/>
      <c r="F52" s="36"/>
    </row>
    <row r="53" spans="2:6">
      <c r="B53" s="34"/>
      <c r="C53" s="36"/>
      <c r="D53" s="36"/>
      <c r="E53" s="36"/>
      <c r="F53" s="36"/>
    </row>
    <row r="54" spans="2:6">
      <c r="B54" s="34"/>
      <c r="C54" s="36"/>
      <c r="D54" s="36"/>
      <c r="E54" s="36"/>
      <c r="F54" s="36"/>
    </row>
    <row r="55" spans="2:6">
      <c r="B55" s="34"/>
      <c r="C55" s="36"/>
      <c r="D55" s="36"/>
      <c r="E55" s="36"/>
      <c r="F55" s="36"/>
    </row>
    <row r="56" spans="2:6">
      <c r="B56" s="34"/>
      <c r="C56" s="36"/>
      <c r="D56" s="36"/>
      <c r="E56" s="36"/>
      <c r="F56" s="36"/>
    </row>
  </sheetData>
  <mergeCells count="27">
    <mergeCell ref="F9:I9"/>
    <mergeCell ref="B14:E14"/>
    <mergeCell ref="F14:I14"/>
    <mergeCell ref="B15:E15"/>
    <mergeCell ref="F15:I15"/>
    <mergeCell ref="B11:E11"/>
    <mergeCell ref="F11:I11"/>
    <mergeCell ref="B12:E12"/>
    <mergeCell ref="F12:I12"/>
    <mergeCell ref="B13:E13"/>
    <mergeCell ref="F13:I13"/>
    <mergeCell ref="A1:I1"/>
    <mergeCell ref="A2:B2"/>
    <mergeCell ref="C2:H2"/>
    <mergeCell ref="A3:I3"/>
    <mergeCell ref="A17:I17"/>
    <mergeCell ref="B5:E5"/>
    <mergeCell ref="F5:I5"/>
    <mergeCell ref="B6:E6"/>
    <mergeCell ref="F6:I6"/>
    <mergeCell ref="B7:E7"/>
    <mergeCell ref="F7:I7"/>
    <mergeCell ref="B8:E8"/>
    <mergeCell ref="F8:I8"/>
    <mergeCell ref="B9:E9"/>
    <mergeCell ref="B10:E10"/>
    <mergeCell ref="F10:I10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6"/>
  <sheetViews>
    <sheetView view="pageBreakPreview" zoomScale="115" zoomScaleNormal="100" zoomScaleSheetLayoutView="115" workbookViewId="0">
      <selection activeCell="B15" sqref="B15:I15"/>
    </sheetView>
  </sheetViews>
  <sheetFormatPr defaultRowHeight="15.75"/>
  <cols>
    <col min="1" max="1" width="5.6640625" style="28" customWidth="1"/>
    <col min="2" max="6" width="12.77734375" style="35" customWidth="1"/>
    <col min="7" max="9" width="12.77734375" style="28" customWidth="1"/>
    <col min="10" max="16384" width="8.88671875" style="28"/>
  </cols>
  <sheetData>
    <row r="1" spans="1:13" ht="30" customHeight="1">
      <c r="A1" s="749" t="s">
        <v>33</v>
      </c>
      <c r="B1" s="784"/>
      <c r="C1" s="784"/>
      <c r="D1" s="784"/>
      <c r="E1" s="784"/>
      <c r="F1" s="784"/>
      <c r="G1" s="784"/>
      <c r="H1" s="784"/>
      <c r="I1" s="750"/>
    </row>
    <row r="2" spans="1:13" ht="20.100000000000001" customHeight="1">
      <c r="A2" s="785" t="str">
        <f>'1a-Performance'!A2:B2</f>
        <v xml:space="preserve">VE Title : </v>
      </c>
      <c r="B2" s="786"/>
      <c r="C2" s="787" t="str">
        <f>'1a-Performance'!B2</f>
        <v>포장두께</v>
      </c>
      <c r="D2" s="787"/>
      <c r="E2" s="787"/>
      <c r="F2" s="787"/>
      <c r="G2" s="787"/>
      <c r="H2" s="787"/>
      <c r="I2" s="119"/>
    </row>
    <row r="3" spans="1:13" ht="20.100000000000001" customHeight="1">
      <c r="A3" s="788" t="s">
        <v>34</v>
      </c>
      <c r="B3" s="789"/>
      <c r="C3" s="789"/>
      <c r="D3" s="789"/>
      <c r="E3" s="789"/>
      <c r="F3" s="789"/>
      <c r="G3" s="789"/>
      <c r="H3" s="789"/>
      <c r="I3" s="790"/>
    </row>
    <row r="4" spans="1:13" s="33" customFormat="1" ht="20.100000000000001" customHeight="1">
      <c r="A4" s="135" t="s">
        <v>35</v>
      </c>
      <c r="B4" s="136"/>
      <c r="C4" s="136"/>
      <c r="D4" s="136"/>
      <c r="E4" s="136"/>
      <c r="F4" s="136"/>
      <c r="G4" s="136"/>
      <c r="H4" s="136"/>
      <c r="I4" s="137"/>
      <c r="J4" s="32"/>
      <c r="K4" s="32"/>
      <c r="L4" s="32"/>
      <c r="M4" s="32"/>
    </row>
    <row r="5" spans="1:13" s="33" customFormat="1" ht="18" customHeight="1">
      <c r="A5" s="138">
        <v>10</v>
      </c>
      <c r="B5" s="772" t="s">
        <v>136</v>
      </c>
      <c r="C5" s="773"/>
      <c r="D5" s="773"/>
      <c r="E5" s="773"/>
      <c r="F5" s="773"/>
      <c r="G5" s="773"/>
      <c r="H5" s="773"/>
      <c r="I5" s="774"/>
    </row>
    <row r="6" spans="1:13" s="33" customFormat="1" ht="18" customHeight="1">
      <c r="A6" s="139">
        <v>9</v>
      </c>
      <c r="B6" s="772" t="s">
        <v>137</v>
      </c>
      <c r="C6" s="773"/>
      <c r="D6" s="773"/>
      <c r="E6" s="773"/>
      <c r="F6" s="773"/>
      <c r="G6" s="773"/>
      <c r="H6" s="773"/>
      <c r="I6" s="774"/>
    </row>
    <row r="7" spans="1:13" s="33" customFormat="1" ht="18" customHeight="1">
      <c r="A7" s="139">
        <v>8</v>
      </c>
      <c r="B7" s="772" t="s">
        <v>138</v>
      </c>
      <c r="C7" s="773"/>
      <c r="D7" s="773"/>
      <c r="E7" s="773"/>
      <c r="F7" s="773"/>
      <c r="G7" s="773"/>
      <c r="H7" s="773"/>
      <c r="I7" s="774"/>
    </row>
    <row r="8" spans="1:13" s="33" customFormat="1" ht="18" customHeight="1">
      <c r="A8" s="139">
        <v>7</v>
      </c>
      <c r="B8" s="772" t="s">
        <v>139</v>
      </c>
      <c r="C8" s="773"/>
      <c r="D8" s="773"/>
      <c r="E8" s="773"/>
      <c r="F8" s="773"/>
      <c r="G8" s="773"/>
      <c r="H8" s="773"/>
      <c r="I8" s="774"/>
    </row>
    <row r="9" spans="1:13" s="33" customFormat="1" ht="18" customHeight="1">
      <c r="A9" s="139">
        <v>6</v>
      </c>
      <c r="B9" s="772" t="s">
        <v>140</v>
      </c>
      <c r="C9" s="773"/>
      <c r="D9" s="773"/>
      <c r="E9" s="773"/>
      <c r="F9" s="773"/>
      <c r="G9" s="773"/>
      <c r="H9" s="773"/>
      <c r="I9" s="774"/>
    </row>
    <row r="10" spans="1:13" s="33" customFormat="1" ht="18" customHeight="1">
      <c r="A10" s="139">
        <v>5</v>
      </c>
      <c r="B10" s="772"/>
      <c r="C10" s="773"/>
      <c r="D10" s="773"/>
      <c r="E10" s="773"/>
      <c r="F10" s="773"/>
      <c r="G10" s="773"/>
      <c r="H10" s="773"/>
      <c r="I10" s="774"/>
    </row>
    <row r="11" spans="1:13" s="33" customFormat="1" ht="18" customHeight="1">
      <c r="A11" s="139">
        <v>4</v>
      </c>
      <c r="B11" s="772" t="s">
        <v>141</v>
      </c>
      <c r="C11" s="773"/>
      <c r="D11" s="773"/>
      <c r="E11" s="773"/>
      <c r="F11" s="773"/>
      <c r="G11" s="773"/>
      <c r="H11" s="773"/>
      <c r="I11" s="774"/>
    </row>
    <row r="12" spans="1:13" s="33" customFormat="1" ht="18" customHeight="1">
      <c r="A12" s="139">
        <v>3</v>
      </c>
      <c r="B12" s="772" t="s">
        <v>142</v>
      </c>
      <c r="C12" s="773"/>
      <c r="D12" s="773"/>
      <c r="E12" s="773"/>
      <c r="F12" s="773"/>
      <c r="G12" s="773"/>
      <c r="H12" s="773"/>
      <c r="I12" s="774"/>
    </row>
    <row r="13" spans="1:13" s="33" customFormat="1" ht="18" customHeight="1">
      <c r="A13" s="139">
        <v>2</v>
      </c>
      <c r="B13" s="772" t="s">
        <v>143</v>
      </c>
      <c r="C13" s="773"/>
      <c r="D13" s="773"/>
      <c r="E13" s="773"/>
      <c r="F13" s="773"/>
      <c r="G13" s="773"/>
      <c r="H13" s="773"/>
      <c r="I13" s="774"/>
    </row>
    <row r="14" spans="1:13" s="33" customFormat="1" ht="18" customHeight="1">
      <c r="A14" s="139">
        <v>1</v>
      </c>
      <c r="B14" s="772" t="s">
        <v>144</v>
      </c>
      <c r="C14" s="773"/>
      <c r="D14" s="773"/>
      <c r="E14" s="773"/>
      <c r="F14" s="773"/>
      <c r="G14" s="773"/>
      <c r="H14" s="773"/>
      <c r="I14" s="774"/>
    </row>
    <row r="15" spans="1:13" s="33" customFormat="1" ht="18" customHeight="1">
      <c r="A15" s="139">
        <v>0</v>
      </c>
      <c r="B15" s="772"/>
      <c r="C15" s="773"/>
      <c r="D15" s="773"/>
      <c r="E15" s="773"/>
      <c r="F15" s="773"/>
      <c r="G15" s="773"/>
      <c r="H15" s="773"/>
      <c r="I15" s="774"/>
    </row>
    <row r="16" spans="1:13" s="33" customFormat="1" ht="9" customHeight="1">
      <c r="A16" s="141"/>
      <c r="B16" s="142"/>
      <c r="C16" s="142"/>
      <c r="D16" s="142"/>
      <c r="E16" s="142"/>
      <c r="F16" s="142"/>
      <c r="G16" s="143"/>
      <c r="H16" s="143"/>
      <c r="I16" s="144"/>
    </row>
    <row r="17" spans="1:10" s="33" customFormat="1" ht="20.100000000000001" customHeight="1">
      <c r="A17" s="778" t="s">
        <v>47</v>
      </c>
      <c r="B17" s="779"/>
      <c r="C17" s="779"/>
      <c r="D17" s="779"/>
      <c r="E17" s="779"/>
      <c r="F17" s="779"/>
      <c r="G17" s="779"/>
      <c r="H17" s="779"/>
      <c r="I17" s="780"/>
    </row>
    <row r="18" spans="1:10" s="33" customFormat="1" ht="20.100000000000001" customHeight="1">
      <c r="A18" s="145"/>
      <c r="B18" s="136">
        <f>B4</f>
        <v>0</v>
      </c>
      <c r="C18" s="136">
        <f t="shared" ref="C18:I18" si="0">C4</f>
        <v>0</v>
      </c>
      <c r="D18" s="136">
        <f t="shared" si="0"/>
        <v>0</v>
      </c>
      <c r="E18" s="136">
        <f t="shared" si="0"/>
        <v>0</v>
      </c>
      <c r="F18" s="136">
        <f t="shared" si="0"/>
        <v>0</v>
      </c>
      <c r="G18" s="136">
        <f t="shared" si="0"/>
        <v>0</v>
      </c>
      <c r="H18" s="136">
        <f t="shared" si="0"/>
        <v>0</v>
      </c>
      <c r="I18" s="137">
        <f t="shared" si="0"/>
        <v>0</v>
      </c>
      <c r="J18" s="32"/>
    </row>
    <row r="19" spans="1:10" s="33" customFormat="1" ht="140.25" customHeight="1" thickBot="1">
      <c r="A19" s="146" t="s">
        <v>48</v>
      </c>
      <c r="B19" s="147"/>
      <c r="C19" s="147"/>
      <c r="D19" s="147"/>
      <c r="E19" s="147"/>
      <c r="F19" s="147"/>
      <c r="G19" s="147"/>
      <c r="H19" s="147"/>
      <c r="I19" s="148"/>
    </row>
    <row r="20" spans="1:10">
      <c r="B20" s="34"/>
      <c r="C20" s="34"/>
      <c r="D20" s="34"/>
      <c r="E20" s="34"/>
      <c r="F20" s="34"/>
    </row>
    <row r="21" spans="1:10">
      <c r="B21" s="34"/>
      <c r="C21" s="34"/>
      <c r="D21" s="34"/>
      <c r="E21" s="34"/>
      <c r="F21" s="34"/>
    </row>
    <row r="22" spans="1:10">
      <c r="B22" s="34"/>
      <c r="C22" s="34"/>
      <c r="D22" s="34"/>
      <c r="E22" s="34"/>
      <c r="F22" s="34"/>
    </row>
    <row r="23" spans="1:10">
      <c r="B23" s="34"/>
      <c r="C23" s="34"/>
      <c r="D23" s="34"/>
      <c r="E23" s="34"/>
      <c r="F23" s="34"/>
    </row>
    <row r="24" spans="1:10">
      <c r="B24" s="34"/>
      <c r="C24" s="34"/>
      <c r="D24" s="34"/>
      <c r="E24" s="34"/>
      <c r="F24" s="34"/>
    </row>
    <row r="47" spans="2:6">
      <c r="B47" s="34"/>
      <c r="C47" s="36"/>
      <c r="D47" s="36"/>
      <c r="E47" s="36"/>
      <c r="F47" s="36"/>
    </row>
    <row r="48" spans="2:6">
      <c r="B48" s="34"/>
      <c r="C48" s="36"/>
      <c r="D48" s="36"/>
      <c r="E48" s="36"/>
      <c r="F48" s="36"/>
    </row>
    <row r="49" spans="2:6">
      <c r="B49" s="34"/>
      <c r="C49" s="36"/>
      <c r="D49" s="36"/>
      <c r="E49" s="36"/>
      <c r="F49" s="36"/>
    </row>
    <row r="50" spans="2:6">
      <c r="B50" s="34"/>
      <c r="C50" s="36"/>
      <c r="D50" s="36"/>
      <c r="E50" s="36"/>
      <c r="F50" s="36"/>
    </row>
    <row r="51" spans="2:6">
      <c r="B51" s="34"/>
      <c r="C51" s="36"/>
      <c r="D51" s="36"/>
      <c r="E51" s="36"/>
      <c r="F51" s="36"/>
    </row>
    <row r="52" spans="2:6">
      <c r="B52" s="34"/>
      <c r="C52" s="36"/>
      <c r="D52" s="36"/>
      <c r="E52" s="36"/>
      <c r="F52" s="36"/>
    </row>
    <row r="53" spans="2:6">
      <c r="B53" s="34"/>
      <c r="C53" s="36"/>
      <c r="D53" s="36"/>
      <c r="E53" s="36"/>
      <c r="F53" s="36"/>
    </row>
    <row r="54" spans="2:6">
      <c r="B54" s="34"/>
      <c r="C54" s="36"/>
      <c r="D54" s="36"/>
      <c r="E54" s="36"/>
      <c r="F54" s="36"/>
    </row>
    <row r="55" spans="2:6">
      <c r="B55" s="34"/>
      <c r="C55" s="36"/>
      <c r="D55" s="36"/>
      <c r="E55" s="36"/>
      <c r="F55" s="36"/>
    </row>
    <row r="56" spans="2:6">
      <c r="B56" s="34"/>
      <c r="C56" s="36"/>
      <c r="D56" s="36"/>
      <c r="E56" s="36"/>
      <c r="F56" s="36"/>
    </row>
  </sheetData>
  <mergeCells count="16">
    <mergeCell ref="B6:I6"/>
    <mergeCell ref="B13:I13"/>
    <mergeCell ref="B14:I14"/>
    <mergeCell ref="B15:I15"/>
    <mergeCell ref="A17:I17"/>
    <mergeCell ref="B7:I7"/>
    <mergeCell ref="B8:I8"/>
    <mergeCell ref="B9:I9"/>
    <mergeCell ref="B10:I10"/>
    <mergeCell ref="B11:I11"/>
    <mergeCell ref="B12:I12"/>
    <mergeCell ref="A1:I1"/>
    <mergeCell ref="A2:B2"/>
    <mergeCell ref="C2:H2"/>
    <mergeCell ref="A3:I3"/>
    <mergeCell ref="B5:I5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Q35"/>
  <sheetViews>
    <sheetView view="pageBreakPreview" zoomScale="115" zoomScaleNormal="115" zoomScaleSheetLayoutView="115" workbookViewId="0">
      <selection activeCell="D4" sqref="D4"/>
    </sheetView>
  </sheetViews>
  <sheetFormatPr defaultRowHeight="13.5"/>
  <cols>
    <col min="1" max="1" width="4" style="377" customWidth="1"/>
    <col min="2" max="2" width="18" style="377" customWidth="1"/>
    <col min="3" max="10" width="5.77734375" style="377" customWidth="1"/>
    <col min="11" max="11" width="2.44140625" style="377" customWidth="1"/>
    <col min="12" max="12" width="6.21875" style="377" customWidth="1"/>
    <col min="13" max="13" width="3.77734375" style="377" customWidth="1"/>
    <col min="14" max="14" width="9.33203125" style="377" customWidth="1"/>
    <col min="15" max="15" width="9.88671875" style="377" customWidth="1"/>
    <col min="16" max="16" width="7.77734375" style="377" customWidth="1"/>
    <col min="17" max="17" width="5.88671875" style="377" customWidth="1"/>
    <col min="18" max="16384" width="8.88671875" style="377"/>
  </cols>
  <sheetData>
    <row r="1" spans="1:17" ht="30" customHeight="1">
      <c r="A1" s="729" t="s">
        <v>185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1"/>
    </row>
    <row r="2" spans="1:17" ht="20.100000000000001" customHeight="1">
      <c r="A2" s="760" t="str">
        <f>'1a-Performance'!A2</f>
        <v xml:space="preserve">VE Title : </v>
      </c>
      <c r="B2" s="761"/>
      <c r="C2" s="798" t="str">
        <f>'1a-Performance'!B2</f>
        <v>포장두께</v>
      </c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8"/>
      <c r="O2" s="423"/>
      <c r="P2" s="403"/>
    </row>
    <row r="3" spans="1:17" s="389" customFormat="1" ht="23.25" customHeight="1">
      <c r="A3" s="424" t="s">
        <v>322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6"/>
    </row>
    <row r="4" spans="1:17" ht="23.25" customHeight="1">
      <c r="A4" s="427" t="s">
        <v>146</v>
      </c>
      <c r="P4" s="428"/>
    </row>
    <row r="5" spans="1:17" ht="21" customHeight="1" thickBot="1">
      <c r="A5" s="429" t="s">
        <v>334</v>
      </c>
      <c r="B5" s="430"/>
      <c r="C5" s="431">
        <v>1</v>
      </c>
      <c r="D5" s="432">
        <v>2</v>
      </c>
      <c r="E5" s="432">
        <v>3</v>
      </c>
      <c r="F5" s="432">
        <v>4</v>
      </c>
      <c r="G5" s="432">
        <v>5</v>
      </c>
      <c r="H5" s="432">
        <v>6</v>
      </c>
      <c r="I5" s="432">
        <v>7</v>
      </c>
      <c r="J5" s="432">
        <v>8</v>
      </c>
      <c r="L5" s="433" t="s">
        <v>320</v>
      </c>
      <c r="M5" s="433" t="s">
        <v>148</v>
      </c>
      <c r="N5" s="433" t="s">
        <v>149</v>
      </c>
      <c r="O5" s="433" t="s">
        <v>150</v>
      </c>
      <c r="P5" s="434" t="s">
        <v>324</v>
      </c>
      <c r="Q5" s="435"/>
    </row>
    <row r="6" spans="1:17" ht="21" customHeight="1" thickTop="1">
      <c r="A6" s="436">
        <v>1</v>
      </c>
      <c r="B6" s="720" t="str">
        <f>'1a-Performance'!A5</f>
        <v>시공성</v>
      </c>
      <c r="C6" s="438">
        <v>1</v>
      </c>
      <c r="D6" s="439">
        <f>GEOMEAN('3c-PCM#1'!D6)</f>
        <v>1</v>
      </c>
      <c r="E6" s="439">
        <f>GEOMEAN('3c-PCM#1'!E6)</f>
        <v>1.5</v>
      </c>
      <c r="F6" s="439">
        <f>GEOMEAN('3c-PCM#1'!F6)</f>
        <v>1</v>
      </c>
      <c r="G6" s="439">
        <f>GEOMEAN('3c-PCM#1'!G6)</f>
        <v>1.5</v>
      </c>
      <c r="H6" s="439">
        <f>GEOMEAN('3c-PCM#1'!H6)</f>
        <v>2</v>
      </c>
      <c r="I6" s="439">
        <f>GEOMEAN('3c-PCM#1'!I6)</f>
        <v>2</v>
      </c>
      <c r="J6" s="439">
        <f>GEOMEAN('3c-PCM#1'!J6)</f>
        <v>1</v>
      </c>
      <c r="L6" s="440">
        <f t="shared" ref="L6:L13" si="0">PRODUCT(C6:J6)</f>
        <v>9</v>
      </c>
      <c r="M6" s="441">
        <f t="shared" ref="M6:M13" si="1">IF($J$6&lt;&gt;"",8,(IF($I$6&lt;&gt;"",7,(IF($H$6&lt;&gt;"",6,5)))))</f>
        <v>8</v>
      </c>
      <c r="N6" s="440">
        <f t="shared" ref="N6:N11" si="2">L6^(1/M6)</f>
        <v>1.3160740129524926</v>
      </c>
      <c r="O6" s="442">
        <f t="shared" ref="O6:O13" si="3">N6/$N$14</f>
        <v>0.16271658990057716</v>
      </c>
      <c r="P6" s="443">
        <f>ROUND(O6,3)</f>
        <v>0.16300000000000001</v>
      </c>
      <c r="Q6" s="444"/>
    </row>
    <row r="7" spans="1:17" ht="21" customHeight="1">
      <c r="A7" s="445">
        <v>2</v>
      </c>
      <c r="B7" s="721" t="str">
        <f>'1a-Performance'!A6</f>
        <v>유지관리성</v>
      </c>
      <c r="C7" s="446">
        <f>1/D6</f>
        <v>1</v>
      </c>
      <c r="D7" s="447">
        <v>1</v>
      </c>
      <c r="E7" s="439">
        <f>GEOMEAN('3c-PCM#1'!E7)</f>
        <v>1</v>
      </c>
      <c r="F7" s="439">
        <f>GEOMEAN('3c-PCM#1'!F7)</f>
        <v>1</v>
      </c>
      <c r="G7" s="439">
        <f>GEOMEAN('3c-PCM#1'!G7)</f>
        <v>1.5</v>
      </c>
      <c r="H7" s="439">
        <f>GEOMEAN('3c-PCM#1'!H7)</f>
        <v>1</v>
      </c>
      <c r="I7" s="439">
        <f>GEOMEAN('3c-PCM#1'!I7)</f>
        <v>2</v>
      </c>
      <c r="J7" s="439">
        <f>GEOMEAN('3c-PCM#1'!J7)</f>
        <v>1</v>
      </c>
      <c r="L7" s="440">
        <f t="shared" si="0"/>
        <v>3</v>
      </c>
      <c r="M7" s="441">
        <f t="shared" si="1"/>
        <v>8</v>
      </c>
      <c r="N7" s="440">
        <f t="shared" si="2"/>
        <v>1.1472026904398771</v>
      </c>
      <c r="O7" s="442">
        <f t="shared" si="3"/>
        <v>0.14183769900172216</v>
      </c>
      <c r="P7" s="443">
        <f>ROUND(O7,3)</f>
        <v>0.14199999999999999</v>
      </c>
      <c r="Q7" s="444"/>
    </row>
    <row r="8" spans="1:17" ht="21" customHeight="1">
      <c r="A8" s="445">
        <v>3</v>
      </c>
      <c r="B8" s="721" t="str">
        <f>'1a-Performance'!A7</f>
        <v>내구성</v>
      </c>
      <c r="C8" s="446">
        <f>1/E6</f>
        <v>0.66666666666666663</v>
      </c>
      <c r="D8" s="448">
        <f>1/E7</f>
        <v>1</v>
      </c>
      <c r="E8" s="447">
        <v>1</v>
      </c>
      <c r="F8" s="439">
        <f>GEOMEAN('3c-PCM#1'!F8)</f>
        <v>1.5</v>
      </c>
      <c r="G8" s="439">
        <f>GEOMEAN('3c-PCM#1'!G8)</f>
        <v>1</v>
      </c>
      <c r="H8" s="439">
        <f>GEOMEAN('3c-PCM#1'!H8)</f>
        <v>1</v>
      </c>
      <c r="I8" s="439">
        <f>GEOMEAN('3c-PCM#1'!I8)</f>
        <v>1.5</v>
      </c>
      <c r="J8" s="439">
        <f>GEOMEAN('3c-PCM#1'!J8)</f>
        <v>1</v>
      </c>
      <c r="L8" s="440">
        <f t="shared" si="0"/>
        <v>1.5</v>
      </c>
      <c r="M8" s="441">
        <f t="shared" si="1"/>
        <v>8</v>
      </c>
      <c r="N8" s="440">
        <f t="shared" si="2"/>
        <v>1.0519895055086441</v>
      </c>
      <c r="O8" s="442">
        <f t="shared" si="3"/>
        <v>0.13006574346342639</v>
      </c>
      <c r="P8" s="443">
        <f>ROUND(O8,3)-0.001</f>
        <v>0.129</v>
      </c>
      <c r="Q8" s="444"/>
    </row>
    <row r="9" spans="1:17" ht="21" customHeight="1">
      <c r="A9" s="445">
        <v>4</v>
      </c>
      <c r="B9" s="721" t="str">
        <f>'1a-Performance'!A8</f>
        <v>이용편의성</v>
      </c>
      <c r="C9" s="446">
        <f>1/F6</f>
        <v>1</v>
      </c>
      <c r="D9" s="448">
        <f>1/F7</f>
        <v>1</v>
      </c>
      <c r="E9" s="448">
        <f>1/F8</f>
        <v>0.66666666666666663</v>
      </c>
      <c r="F9" s="447">
        <v>1</v>
      </c>
      <c r="G9" s="439">
        <f>GEOMEAN('3c-PCM#1'!G9)</f>
        <v>1</v>
      </c>
      <c r="H9" s="439">
        <f>GEOMEAN('3c-PCM#1'!H9)</f>
        <v>1</v>
      </c>
      <c r="I9" s="439">
        <f>GEOMEAN('3c-PCM#1'!I9)</f>
        <v>1</v>
      </c>
      <c r="J9" s="439">
        <f>GEOMEAN('3c-PCM#1'!J9)</f>
        <v>1</v>
      </c>
      <c r="L9" s="440">
        <f t="shared" si="0"/>
        <v>0.66666666666666663</v>
      </c>
      <c r="M9" s="441">
        <f t="shared" si="1"/>
        <v>8</v>
      </c>
      <c r="N9" s="440">
        <f t="shared" si="2"/>
        <v>0.95057982495414073</v>
      </c>
      <c r="O9" s="442">
        <f t="shared" si="3"/>
        <v>0.11752766639455617</v>
      </c>
      <c r="P9" s="443">
        <f>ROUND(O9,3)-0.001</f>
        <v>0.11699999999999999</v>
      </c>
      <c r="Q9" s="444"/>
    </row>
    <row r="10" spans="1:17" ht="21" customHeight="1">
      <c r="A10" s="445">
        <v>5</v>
      </c>
      <c r="B10" s="721" t="str">
        <f>'1a-Performance'!A9</f>
        <v>친환경성</v>
      </c>
      <c r="C10" s="446">
        <f>1/G6</f>
        <v>0.66666666666666663</v>
      </c>
      <c r="D10" s="448">
        <f>1/G7</f>
        <v>0.66666666666666663</v>
      </c>
      <c r="E10" s="448">
        <f>1/G8</f>
        <v>1</v>
      </c>
      <c r="F10" s="448">
        <f>1/G9</f>
        <v>1</v>
      </c>
      <c r="G10" s="447">
        <v>1</v>
      </c>
      <c r="H10" s="439">
        <f>GEOMEAN('3c-PCM#1'!H10)</f>
        <v>0.7</v>
      </c>
      <c r="I10" s="439">
        <f>GEOMEAN('3c-PCM#1'!I10)</f>
        <v>0.5</v>
      </c>
      <c r="J10" s="439">
        <f>GEOMEAN('3c-PCM#1'!J10)</f>
        <v>1</v>
      </c>
      <c r="L10" s="440">
        <f t="shared" si="0"/>
        <v>0.15555555555555553</v>
      </c>
      <c r="M10" s="441">
        <f t="shared" si="1"/>
        <v>8</v>
      </c>
      <c r="N10" s="440">
        <f t="shared" si="2"/>
        <v>0.79247521942068888</v>
      </c>
      <c r="O10" s="442">
        <f t="shared" si="3"/>
        <v>9.7979949467705899E-2</v>
      </c>
      <c r="P10" s="443">
        <f t="shared" ref="P10:P13" si="4">ROUND(O10,3)</f>
        <v>9.8000000000000004E-2</v>
      </c>
      <c r="Q10" s="444"/>
    </row>
    <row r="11" spans="1:17" ht="21" customHeight="1">
      <c r="A11" s="445">
        <v>6</v>
      </c>
      <c r="B11" s="721" t="str">
        <f>'1a-Performance'!A10</f>
        <v>배수성</v>
      </c>
      <c r="C11" s="446">
        <f>1/H6</f>
        <v>0.5</v>
      </c>
      <c r="D11" s="448">
        <f>1/H7</f>
        <v>1</v>
      </c>
      <c r="E11" s="448">
        <f>1/H8</f>
        <v>1</v>
      </c>
      <c r="F11" s="448">
        <f>1/H9</f>
        <v>1</v>
      </c>
      <c r="G11" s="448">
        <f>1/H10</f>
        <v>1.4285714285714286</v>
      </c>
      <c r="H11" s="447">
        <v>1</v>
      </c>
      <c r="I11" s="439">
        <f>GEOMEAN('3c-PCM#1'!I11)</f>
        <v>0.5</v>
      </c>
      <c r="J11" s="439">
        <f>GEOMEAN('3c-PCM#1'!J11)</f>
        <v>1</v>
      </c>
      <c r="L11" s="440">
        <f t="shared" si="0"/>
        <v>0.35714285714285715</v>
      </c>
      <c r="M11" s="441">
        <f t="shared" si="1"/>
        <v>8</v>
      </c>
      <c r="N11" s="440">
        <f t="shared" si="2"/>
        <v>0.87923556325591468</v>
      </c>
      <c r="O11" s="442">
        <f t="shared" si="3"/>
        <v>0.10870681372346193</v>
      </c>
      <c r="P11" s="443">
        <f t="shared" si="4"/>
        <v>0.109</v>
      </c>
      <c r="Q11" s="444"/>
    </row>
    <row r="12" spans="1:17" ht="21" customHeight="1">
      <c r="A12" s="445">
        <v>7</v>
      </c>
      <c r="B12" s="721" t="str">
        <f>'1a-Performance'!A11</f>
        <v>교통안전성</v>
      </c>
      <c r="C12" s="446">
        <f>1/I6</f>
        <v>0.5</v>
      </c>
      <c r="D12" s="446">
        <f>1/I7</f>
        <v>0.5</v>
      </c>
      <c r="E12" s="446">
        <f>1/I8</f>
        <v>0.66666666666666663</v>
      </c>
      <c r="F12" s="446">
        <f>1/I9</f>
        <v>1</v>
      </c>
      <c r="G12" s="446">
        <f>1/I10</f>
        <v>2</v>
      </c>
      <c r="H12" s="446">
        <f>1/I11</f>
        <v>2</v>
      </c>
      <c r="I12" s="447">
        <v>1</v>
      </c>
      <c r="J12" s="439">
        <f>GEOMEAN('3c-PCM#1'!J12)</f>
        <v>1</v>
      </c>
      <c r="L12" s="440">
        <f t="shared" si="0"/>
        <v>0.66666666666666663</v>
      </c>
      <c r="M12" s="441">
        <f t="shared" si="1"/>
        <v>8</v>
      </c>
      <c r="N12" s="440">
        <f>L12^(1/M12)</f>
        <v>0.95057982495414073</v>
      </c>
      <c r="O12" s="442">
        <f t="shared" si="3"/>
        <v>0.11752766639455617</v>
      </c>
      <c r="P12" s="443">
        <f t="shared" si="4"/>
        <v>0.11799999999999999</v>
      </c>
      <c r="Q12" s="444"/>
    </row>
    <row r="13" spans="1:17" ht="21" customHeight="1">
      <c r="A13" s="445">
        <v>8</v>
      </c>
      <c r="B13" s="721" t="str">
        <f>'1a-Performance'!A12</f>
        <v>민원성</v>
      </c>
      <c r="C13" s="446">
        <f>1/J6</f>
        <v>1</v>
      </c>
      <c r="D13" s="446">
        <f>1/J7</f>
        <v>1</v>
      </c>
      <c r="E13" s="446">
        <f>1/J8</f>
        <v>1</v>
      </c>
      <c r="F13" s="446">
        <f>1/J9</f>
        <v>1</v>
      </c>
      <c r="G13" s="446">
        <f>1/J10</f>
        <v>1</v>
      </c>
      <c r="H13" s="446">
        <f>1/J11</f>
        <v>1</v>
      </c>
      <c r="I13" s="446">
        <f>1/J12</f>
        <v>1</v>
      </c>
      <c r="J13" s="447">
        <v>1</v>
      </c>
      <c r="L13" s="449">
        <f t="shared" si="0"/>
        <v>1</v>
      </c>
      <c r="M13" s="450">
        <f t="shared" si="1"/>
        <v>8</v>
      </c>
      <c r="N13" s="449">
        <f>L13^(1/M13)</f>
        <v>1</v>
      </c>
      <c r="O13" s="451">
        <f t="shared" si="3"/>
        <v>0.12363787165399404</v>
      </c>
      <c r="P13" s="452">
        <f t="shared" si="4"/>
        <v>0.124</v>
      </c>
      <c r="Q13" s="444"/>
    </row>
    <row r="14" spans="1:17" ht="21" customHeight="1">
      <c r="A14" s="453" t="s">
        <v>325</v>
      </c>
      <c r="B14" s="454"/>
      <c r="C14" s="446">
        <f>SUM(C6:C13)</f>
        <v>6.333333333333333</v>
      </c>
      <c r="D14" s="448">
        <f t="shared" ref="D14:J14" si="5">SUM(D6:D13)</f>
        <v>7.166666666666667</v>
      </c>
      <c r="E14" s="448">
        <f t="shared" si="5"/>
        <v>7.8333333333333339</v>
      </c>
      <c r="F14" s="448">
        <f t="shared" si="5"/>
        <v>8.5</v>
      </c>
      <c r="G14" s="448">
        <f t="shared" si="5"/>
        <v>10.428571428571429</v>
      </c>
      <c r="H14" s="448">
        <f t="shared" si="5"/>
        <v>9.6999999999999993</v>
      </c>
      <c r="I14" s="448">
        <f t="shared" si="5"/>
        <v>9.5</v>
      </c>
      <c r="J14" s="448">
        <f t="shared" si="5"/>
        <v>8</v>
      </c>
      <c r="L14" s="455" t="s">
        <v>147</v>
      </c>
      <c r="M14" s="455"/>
      <c r="N14" s="440">
        <f>SUM(N6:N13)</f>
        <v>8.0881366414858995</v>
      </c>
      <c r="O14" s="456">
        <f>SUM(O6:O13)</f>
        <v>0.99999999999999978</v>
      </c>
      <c r="P14" s="443">
        <f>SUM(P6:P13)</f>
        <v>0.99999999999999989</v>
      </c>
    </row>
    <row r="15" spans="1:17" ht="23.25" customHeight="1">
      <c r="A15" s="427" t="s">
        <v>73</v>
      </c>
      <c r="B15" s="408"/>
      <c r="C15" s="408"/>
      <c r="D15" s="408"/>
      <c r="E15" s="408"/>
      <c r="F15" s="408"/>
      <c r="G15" s="408"/>
      <c r="H15" s="408"/>
      <c r="I15" s="408"/>
      <c r="J15" s="408"/>
      <c r="K15" s="408"/>
      <c r="L15" s="408"/>
      <c r="M15" s="408"/>
      <c r="N15" s="408"/>
      <c r="O15" s="408"/>
      <c r="P15" s="457"/>
    </row>
    <row r="16" spans="1:17" ht="21" customHeight="1">
      <c r="A16" s="458" t="s">
        <v>326</v>
      </c>
      <c r="B16" s="459"/>
      <c r="C16" s="460">
        <f>MMULT(C14:J14,O6:O13)</f>
        <v>8.2467381990561712</v>
      </c>
      <c r="D16" s="377" t="s">
        <v>327</v>
      </c>
      <c r="O16" s="408"/>
      <c r="P16" s="457"/>
    </row>
    <row r="17" spans="1:16" ht="21" customHeight="1">
      <c r="A17" s="458" t="s">
        <v>328</v>
      </c>
      <c r="C17" s="460">
        <f>(C16-M6)/(M6-1)</f>
        <v>3.5248314150881602E-2</v>
      </c>
      <c r="D17" s="377" t="s">
        <v>329</v>
      </c>
      <c r="O17" s="408"/>
      <c r="P17" s="457"/>
    </row>
    <row r="18" spans="1:16" ht="21" customHeight="1">
      <c r="A18" s="458" t="s">
        <v>330</v>
      </c>
      <c r="C18" s="460">
        <f>C17/(HLOOKUP(M6,C19:J20,2,TRUE))</f>
        <v>2.4998804362327379E-2</v>
      </c>
      <c r="D18" s="377" t="s">
        <v>331</v>
      </c>
      <c r="F18" s="377" t="str">
        <f>IF(C18&lt;=0.1,"∴O.K","∴N.G")</f>
        <v>∴O.K</v>
      </c>
      <c r="O18" s="408"/>
      <c r="P18" s="457"/>
    </row>
    <row r="19" spans="1:16" ht="21" customHeight="1">
      <c r="A19" s="461"/>
      <c r="B19" s="433" t="s">
        <v>151</v>
      </c>
      <c r="C19" s="441">
        <v>3</v>
      </c>
      <c r="D19" s="441">
        <v>4</v>
      </c>
      <c r="E19" s="441">
        <v>5</v>
      </c>
      <c r="F19" s="441">
        <v>6</v>
      </c>
      <c r="G19" s="441">
        <v>7</v>
      </c>
      <c r="H19" s="441">
        <v>8</v>
      </c>
      <c r="I19" s="441">
        <v>9</v>
      </c>
      <c r="J19" s="441">
        <v>10</v>
      </c>
      <c r="O19" s="408"/>
      <c r="P19" s="457"/>
    </row>
    <row r="20" spans="1:16" ht="21" customHeight="1">
      <c r="A20" s="461"/>
      <c r="B20" s="433" t="s">
        <v>152</v>
      </c>
      <c r="C20" s="441">
        <v>0.57999999999999996</v>
      </c>
      <c r="D20" s="441">
        <v>0.9</v>
      </c>
      <c r="E20" s="441">
        <v>1.1200000000000001</v>
      </c>
      <c r="F20" s="441">
        <v>1.24</v>
      </c>
      <c r="G20" s="441">
        <v>1.32</v>
      </c>
      <c r="H20" s="441">
        <v>1.41</v>
      </c>
      <c r="I20" s="441">
        <v>1.45</v>
      </c>
      <c r="J20" s="441">
        <v>1.51</v>
      </c>
      <c r="O20" s="408"/>
      <c r="P20" s="457"/>
    </row>
    <row r="21" spans="1:16" ht="43.5" customHeight="1" thickBot="1">
      <c r="A21" s="462"/>
      <c r="B21" s="463"/>
      <c r="C21" s="463"/>
      <c r="D21" s="463"/>
      <c r="E21" s="463"/>
      <c r="F21" s="463"/>
      <c r="G21" s="463"/>
      <c r="H21" s="463"/>
      <c r="I21" s="463"/>
      <c r="J21" s="463"/>
      <c r="K21" s="463"/>
      <c r="L21" s="463"/>
      <c r="M21" s="463"/>
      <c r="N21" s="463"/>
      <c r="O21" s="463"/>
      <c r="P21" s="464"/>
    </row>
    <row r="22" spans="1:16" s="389" customFormat="1" ht="17.25" customHeight="1" thickBot="1">
      <c r="A22" s="465" t="s">
        <v>332</v>
      </c>
    </row>
    <row r="23" spans="1:16" ht="15.95" customHeight="1" thickBot="1">
      <c r="A23" s="466" t="s">
        <v>323</v>
      </c>
      <c r="B23" s="467"/>
      <c r="C23" s="468">
        <v>1</v>
      </c>
      <c r="D23" s="469">
        <v>2</v>
      </c>
      <c r="E23" s="469">
        <v>3</v>
      </c>
      <c r="F23" s="469">
        <v>4</v>
      </c>
      <c r="G23" s="469">
        <v>5</v>
      </c>
      <c r="H23" s="469">
        <v>6</v>
      </c>
      <c r="I23" s="469">
        <v>7</v>
      </c>
      <c r="J23" s="470" t="s">
        <v>321</v>
      </c>
    </row>
    <row r="24" spans="1:16" ht="15.95" customHeight="1" thickTop="1">
      <c r="A24" s="436">
        <v>1</v>
      </c>
      <c r="B24" s="437" t="str">
        <f>B6</f>
        <v>시공성</v>
      </c>
      <c r="C24" s="471">
        <f>'3c-PCM#1'!P6</f>
        <v>0.16300000000000001</v>
      </c>
      <c r="D24" s="472" t="e">
        <f>#REF!</f>
        <v>#REF!</v>
      </c>
      <c r="E24" s="472" t="e">
        <f>#REF!</f>
        <v>#REF!</v>
      </c>
      <c r="F24" s="472" t="e">
        <f>#REF!</f>
        <v>#REF!</v>
      </c>
      <c r="G24" s="472" t="e">
        <f>#REF!</f>
        <v>#REF!</v>
      </c>
      <c r="H24" s="473"/>
      <c r="I24" s="473"/>
      <c r="J24" s="474" t="e">
        <f>AVERAGE(C24:I24)</f>
        <v>#REF!</v>
      </c>
    </row>
    <row r="25" spans="1:16" ht="15.95" customHeight="1">
      <c r="A25" s="445">
        <v>2</v>
      </c>
      <c r="B25" s="437" t="str">
        <f t="shared" ref="B25:B31" si="6">B7</f>
        <v>유지관리성</v>
      </c>
      <c r="C25" s="471">
        <f>'3c-PCM#1'!P7</f>
        <v>0.14199999999999999</v>
      </c>
      <c r="D25" s="472" t="e">
        <f>#REF!</f>
        <v>#REF!</v>
      </c>
      <c r="E25" s="472" t="e">
        <f>#REF!</f>
        <v>#REF!</v>
      </c>
      <c r="F25" s="472" t="e">
        <f>#REF!</f>
        <v>#REF!</v>
      </c>
      <c r="G25" s="472" t="e">
        <f>#REF!</f>
        <v>#REF!</v>
      </c>
      <c r="H25" s="440"/>
      <c r="I25" s="440"/>
      <c r="J25" s="474" t="e">
        <f t="shared" ref="J25:J31" si="7">AVERAGE(C25:I25)</f>
        <v>#REF!</v>
      </c>
    </row>
    <row r="26" spans="1:16" ht="15.95" customHeight="1">
      <c r="A26" s="445">
        <v>3</v>
      </c>
      <c r="B26" s="437" t="str">
        <f t="shared" si="6"/>
        <v>내구성</v>
      </c>
      <c r="C26" s="471">
        <f>'3c-PCM#1'!P8</f>
        <v>0.13</v>
      </c>
      <c r="D26" s="472" t="e">
        <f>#REF!</f>
        <v>#REF!</v>
      </c>
      <c r="E26" s="472" t="e">
        <f>#REF!</f>
        <v>#REF!</v>
      </c>
      <c r="F26" s="472" t="e">
        <f>#REF!</f>
        <v>#REF!</v>
      </c>
      <c r="G26" s="472" t="e">
        <f>#REF!</f>
        <v>#REF!</v>
      </c>
      <c r="H26" s="440"/>
      <c r="I26" s="440"/>
      <c r="J26" s="474" t="e">
        <f t="shared" si="7"/>
        <v>#REF!</v>
      </c>
    </row>
    <row r="27" spans="1:16" ht="15.95" customHeight="1">
      <c r="A27" s="445">
        <v>4</v>
      </c>
      <c r="B27" s="437" t="str">
        <f t="shared" si="6"/>
        <v>이용편의성</v>
      </c>
      <c r="C27" s="471">
        <f>'3c-PCM#1'!P9</f>
        <v>0.11799999999999999</v>
      </c>
      <c r="D27" s="472" t="e">
        <f>#REF!</f>
        <v>#REF!</v>
      </c>
      <c r="E27" s="472" t="e">
        <f>#REF!</f>
        <v>#REF!</v>
      </c>
      <c r="F27" s="472" t="e">
        <f>#REF!</f>
        <v>#REF!</v>
      </c>
      <c r="G27" s="472" t="e">
        <f>#REF!</f>
        <v>#REF!</v>
      </c>
      <c r="H27" s="440"/>
      <c r="I27" s="440"/>
      <c r="J27" s="474" t="e">
        <f t="shared" si="7"/>
        <v>#REF!</v>
      </c>
    </row>
    <row r="28" spans="1:16" ht="15.95" customHeight="1">
      <c r="A28" s="445">
        <v>5</v>
      </c>
      <c r="B28" s="437" t="str">
        <f t="shared" si="6"/>
        <v>친환경성</v>
      </c>
      <c r="C28" s="471">
        <f>'3c-PCM#1'!P10</f>
        <v>9.8000000000000004E-2</v>
      </c>
      <c r="D28" s="472" t="e">
        <f>#REF!</f>
        <v>#REF!</v>
      </c>
      <c r="E28" s="472" t="e">
        <f>#REF!</f>
        <v>#REF!</v>
      </c>
      <c r="F28" s="472" t="e">
        <f>#REF!</f>
        <v>#REF!</v>
      </c>
      <c r="G28" s="472" t="e">
        <f>#REF!</f>
        <v>#REF!</v>
      </c>
      <c r="H28" s="440"/>
      <c r="I28" s="440"/>
      <c r="J28" s="474" t="e">
        <f t="shared" si="7"/>
        <v>#REF!</v>
      </c>
    </row>
    <row r="29" spans="1:16" ht="15.95" customHeight="1">
      <c r="A29" s="445">
        <v>6</v>
      </c>
      <c r="B29" s="437" t="str">
        <f t="shared" si="6"/>
        <v>배수성</v>
      </c>
      <c r="C29" s="471">
        <f>'3c-PCM#1'!P11</f>
        <v>0.109</v>
      </c>
      <c r="D29" s="472" t="e">
        <f>#REF!</f>
        <v>#REF!</v>
      </c>
      <c r="E29" s="472" t="e">
        <f>#REF!</f>
        <v>#REF!</v>
      </c>
      <c r="F29" s="472" t="e">
        <f>#REF!</f>
        <v>#REF!</v>
      </c>
      <c r="G29" s="472" t="e">
        <f>#REF!</f>
        <v>#REF!</v>
      </c>
      <c r="H29" s="440"/>
      <c r="I29" s="440"/>
      <c r="J29" s="474" t="e">
        <f t="shared" si="7"/>
        <v>#REF!</v>
      </c>
    </row>
    <row r="30" spans="1:16" ht="15.95" customHeight="1">
      <c r="A30" s="445">
        <v>7</v>
      </c>
      <c r="B30" s="437" t="str">
        <f t="shared" si="6"/>
        <v>교통안전성</v>
      </c>
      <c r="C30" s="471">
        <f>'3c-PCM#1'!P12</f>
        <v>0.11799999999999999</v>
      </c>
      <c r="D30" s="472" t="e">
        <f>#REF!</f>
        <v>#REF!</v>
      </c>
      <c r="E30" s="472" t="e">
        <f>#REF!</f>
        <v>#REF!</v>
      </c>
      <c r="F30" s="472" t="e">
        <f>#REF!</f>
        <v>#REF!</v>
      </c>
      <c r="G30" s="472" t="e">
        <f>#REF!</f>
        <v>#REF!</v>
      </c>
      <c r="H30" s="440"/>
      <c r="I30" s="440"/>
      <c r="J30" s="474" t="e">
        <f t="shared" si="7"/>
        <v>#REF!</v>
      </c>
    </row>
    <row r="31" spans="1:16" ht="15.95" customHeight="1">
      <c r="A31" s="475">
        <v>8</v>
      </c>
      <c r="B31" s="476" t="str">
        <f t="shared" si="6"/>
        <v>민원성</v>
      </c>
      <c r="C31" s="471">
        <f>'3c-PCM#1'!P13</f>
        <v>0.124</v>
      </c>
      <c r="D31" s="472" t="e">
        <f>#REF!</f>
        <v>#REF!</v>
      </c>
      <c r="E31" s="472" t="e">
        <f>#REF!</f>
        <v>#REF!</v>
      </c>
      <c r="F31" s="472" t="e">
        <f>#REF!</f>
        <v>#REF!</v>
      </c>
      <c r="G31" s="472" t="e">
        <f>#REF!</f>
        <v>#REF!</v>
      </c>
      <c r="H31" s="449"/>
      <c r="I31" s="449"/>
      <c r="J31" s="474" t="e">
        <f t="shared" si="7"/>
        <v>#REF!</v>
      </c>
    </row>
    <row r="32" spans="1:16" ht="15.95" customHeight="1" thickBot="1">
      <c r="A32" s="477" t="s">
        <v>333</v>
      </c>
      <c r="B32" s="478"/>
      <c r="C32" s="479">
        <f>SUM(C24:C31)</f>
        <v>1.0019999999999998</v>
      </c>
      <c r="D32" s="480" t="e">
        <f>SUM(D24:D31)</f>
        <v>#REF!</v>
      </c>
      <c r="E32" s="480" t="e">
        <f>SUM(E24:E31)</f>
        <v>#REF!</v>
      </c>
      <c r="F32" s="480" t="e">
        <f>SUM(F24:F31)</f>
        <v>#REF!</v>
      </c>
      <c r="G32" s="480" t="e">
        <f>SUM(G24:G31)</f>
        <v>#REF!</v>
      </c>
      <c r="H32" s="480"/>
      <c r="I32" s="480"/>
      <c r="J32" s="481" t="e">
        <f>SUM(J24:J31)</f>
        <v>#REF!</v>
      </c>
    </row>
    <row r="33" ht="17.100000000000001" customHeight="1"/>
    <row r="34" ht="17.100000000000001" customHeight="1"/>
    <row r="35" ht="17.100000000000001" customHeight="1"/>
  </sheetData>
  <mergeCells count="3">
    <mergeCell ref="A1:P1"/>
    <mergeCell ref="A2:B2"/>
    <mergeCell ref="C2:N2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  <ignoredErrors>
    <ignoredError sqref="G14:I14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0"/>
  <sheetViews>
    <sheetView view="pageBreakPreview" zoomScale="115" zoomScaleNormal="110" zoomScaleSheetLayoutView="115" workbookViewId="0">
      <selection activeCell="D34" sqref="D34"/>
    </sheetView>
  </sheetViews>
  <sheetFormatPr defaultRowHeight="12"/>
  <cols>
    <col min="1" max="1" width="4" style="1" customWidth="1"/>
    <col min="2" max="2" width="13.5546875" style="1" customWidth="1"/>
    <col min="3" max="11" width="5.5546875" style="1" customWidth="1"/>
    <col min="12" max="13" width="5.77734375" style="1" customWidth="1"/>
    <col min="14" max="14" width="9.77734375" style="1" customWidth="1"/>
    <col min="15" max="15" width="10.44140625" style="1" customWidth="1"/>
    <col min="16" max="16" width="8.44140625" style="1" customWidth="1"/>
    <col min="17" max="16384" width="8.88671875" style="1"/>
  </cols>
  <sheetData>
    <row r="1" spans="1:17" ht="30" customHeight="1">
      <c r="A1" s="749" t="s">
        <v>186</v>
      </c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84"/>
      <c r="N1" s="784"/>
      <c r="O1" s="784"/>
      <c r="P1" s="750"/>
    </row>
    <row r="2" spans="1:17" ht="20.100000000000001" customHeight="1">
      <c r="A2" s="785" t="str">
        <f>'1a-Performance'!A2</f>
        <v xml:space="preserve">VE Title : </v>
      </c>
      <c r="B2" s="786"/>
      <c r="C2" s="787" t="str">
        <f>'1a-Performance'!B2</f>
        <v>포장두께</v>
      </c>
      <c r="D2" s="787"/>
      <c r="E2" s="787"/>
      <c r="F2" s="787"/>
      <c r="G2" s="787"/>
      <c r="H2" s="787"/>
      <c r="I2" s="787"/>
      <c r="J2" s="787"/>
      <c r="K2" s="787"/>
      <c r="L2" s="787"/>
      <c r="M2" s="787"/>
      <c r="N2" s="787"/>
      <c r="O2" s="118"/>
      <c r="P2" s="119"/>
    </row>
    <row r="3" spans="1:17" ht="18.95" customHeight="1">
      <c r="A3" s="99" t="s">
        <v>178</v>
      </c>
      <c r="B3" s="37"/>
      <c r="C3" s="37"/>
      <c r="D3" s="37"/>
      <c r="E3" s="37"/>
      <c r="F3" s="37"/>
      <c r="G3" s="182" t="s">
        <v>177</v>
      </c>
      <c r="H3" s="37"/>
      <c r="I3" s="37"/>
      <c r="J3" s="37"/>
      <c r="K3" s="37"/>
      <c r="L3" s="37"/>
      <c r="M3" s="37"/>
      <c r="N3" s="37"/>
      <c r="O3" s="37"/>
      <c r="P3" s="100"/>
    </row>
    <row r="4" spans="1:17" ht="15.95" customHeight="1">
      <c r="A4" s="807" t="s">
        <v>154</v>
      </c>
      <c r="B4" s="805" t="s">
        <v>164</v>
      </c>
      <c r="C4" s="799" t="s">
        <v>171</v>
      </c>
      <c r="D4" s="800"/>
      <c r="E4" s="800"/>
      <c r="F4" s="800"/>
      <c r="G4" s="800"/>
      <c r="H4" s="800"/>
      <c r="I4" s="800"/>
      <c r="J4" s="800"/>
      <c r="K4" s="801"/>
      <c r="L4" s="809" t="s">
        <v>165</v>
      </c>
      <c r="M4" s="809" t="s">
        <v>166</v>
      </c>
      <c r="N4" s="802" t="s">
        <v>167</v>
      </c>
      <c r="O4" s="801"/>
      <c r="P4" s="803" t="s">
        <v>155</v>
      </c>
    </row>
    <row r="5" spans="1:17" ht="15.95" customHeight="1" thickBot="1">
      <c r="A5" s="808"/>
      <c r="B5" s="806"/>
      <c r="C5" s="150">
        <v>1</v>
      </c>
      <c r="D5" s="151">
        <v>2</v>
      </c>
      <c r="E5" s="151">
        <v>3</v>
      </c>
      <c r="F5" s="151">
        <v>4</v>
      </c>
      <c r="G5" s="151">
        <v>5</v>
      </c>
      <c r="H5" s="151">
        <v>6</v>
      </c>
      <c r="I5" s="151">
        <v>7</v>
      </c>
      <c r="J5" s="151">
        <v>8</v>
      </c>
      <c r="K5" s="151">
        <v>9</v>
      </c>
      <c r="L5" s="810"/>
      <c r="M5" s="810"/>
      <c r="N5" s="151" t="s">
        <v>168</v>
      </c>
      <c r="O5" s="151" t="s">
        <v>169</v>
      </c>
      <c r="P5" s="804"/>
    </row>
    <row r="6" spans="1:17" ht="15" customHeight="1" thickTop="1">
      <c r="A6" s="153">
        <v>1</v>
      </c>
      <c r="B6" s="154" t="str">
        <f>'3a-Attribute Rating(A)'!B6</f>
        <v>시공성</v>
      </c>
      <c r="C6" s="171">
        <f>'3c-PCM#1'!Q6</f>
        <v>9</v>
      </c>
      <c r="D6" s="52">
        <v>7</v>
      </c>
      <c r="E6" s="52">
        <v>6</v>
      </c>
      <c r="F6" s="52">
        <v>7</v>
      </c>
      <c r="G6" s="52">
        <v>8</v>
      </c>
      <c r="H6" s="52">
        <v>8</v>
      </c>
      <c r="I6" s="52">
        <v>8</v>
      </c>
      <c r="J6" s="52">
        <v>8</v>
      </c>
      <c r="K6" s="52">
        <v>8</v>
      </c>
      <c r="L6" s="172">
        <f t="shared" ref="L6:L11" si="0">AVERAGE(C6:I6)</f>
        <v>7.5714285714285712</v>
      </c>
      <c r="M6" s="173">
        <v>8</v>
      </c>
      <c r="N6" s="172">
        <f t="shared" ref="N6:N11" si="1">(L6*0.7+M6*0.3)</f>
        <v>7.6999999999999993</v>
      </c>
      <c r="O6" s="174">
        <f t="shared" ref="O6:O11" si="2">ROUND(N6,0)</f>
        <v>8</v>
      </c>
      <c r="P6" s="175">
        <f t="shared" ref="P6:P11" si="3">SQRT(VAR(C6:I6))/O6</f>
        <v>0.12198750911856673</v>
      </c>
    </row>
    <row r="7" spans="1:17" ht="15" customHeight="1">
      <c r="A7" s="157">
        <v>2</v>
      </c>
      <c r="B7" s="154" t="str">
        <f>'3a-Attribute Rating(A)'!B7</f>
        <v>유지관리성</v>
      </c>
      <c r="C7" s="171">
        <f>'3c-PCM#1'!Q7</f>
        <v>8</v>
      </c>
      <c r="D7" s="53">
        <v>9</v>
      </c>
      <c r="E7" s="53">
        <v>8</v>
      </c>
      <c r="F7" s="53">
        <v>9</v>
      </c>
      <c r="G7" s="53">
        <v>8</v>
      </c>
      <c r="H7" s="53">
        <v>8</v>
      </c>
      <c r="I7" s="53">
        <v>9</v>
      </c>
      <c r="J7" s="53">
        <v>9</v>
      </c>
      <c r="K7" s="53">
        <v>9</v>
      </c>
      <c r="L7" s="176">
        <f t="shared" si="0"/>
        <v>8.4285714285714288</v>
      </c>
      <c r="M7" s="177">
        <v>8.6</v>
      </c>
      <c r="N7" s="176">
        <f t="shared" si="1"/>
        <v>8.4799999999999986</v>
      </c>
      <c r="O7" s="174">
        <f t="shared" si="2"/>
        <v>8</v>
      </c>
      <c r="P7" s="178">
        <f t="shared" si="3"/>
        <v>6.6815310478106099E-2</v>
      </c>
    </row>
    <row r="8" spans="1:17" ht="15" customHeight="1">
      <c r="A8" s="157">
        <v>3</v>
      </c>
      <c r="B8" s="154" t="str">
        <f>'3a-Attribute Rating(A)'!B8</f>
        <v>내구성</v>
      </c>
      <c r="C8" s="171">
        <f>'3c-PCM#1'!Q8</f>
        <v>7</v>
      </c>
      <c r="D8" s="53">
        <v>8</v>
      </c>
      <c r="E8" s="53">
        <v>7</v>
      </c>
      <c r="F8" s="53">
        <v>6</v>
      </c>
      <c r="G8" s="53">
        <v>6</v>
      </c>
      <c r="H8" s="53">
        <v>8</v>
      </c>
      <c r="I8" s="53">
        <v>8</v>
      </c>
      <c r="J8" s="53">
        <v>8</v>
      </c>
      <c r="K8" s="53">
        <v>8</v>
      </c>
      <c r="L8" s="176">
        <f t="shared" si="0"/>
        <v>7.1428571428571432</v>
      </c>
      <c r="M8" s="177">
        <v>8.3000000000000007</v>
      </c>
      <c r="N8" s="176">
        <f t="shared" si="1"/>
        <v>7.49</v>
      </c>
      <c r="O8" s="174">
        <f t="shared" si="2"/>
        <v>7</v>
      </c>
      <c r="P8" s="178">
        <f t="shared" si="3"/>
        <v>0.12853363012034785</v>
      </c>
    </row>
    <row r="9" spans="1:17" ht="15" customHeight="1">
      <c r="A9" s="157">
        <v>4</v>
      </c>
      <c r="B9" s="154" t="str">
        <f>'3a-Attribute Rating(A)'!B9</f>
        <v>이용편의성</v>
      </c>
      <c r="C9" s="171">
        <f>'3c-PCM#1'!Q9</f>
        <v>7</v>
      </c>
      <c r="D9" s="53">
        <v>8</v>
      </c>
      <c r="E9" s="53">
        <v>8</v>
      </c>
      <c r="F9" s="53">
        <v>8</v>
      </c>
      <c r="G9" s="53">
        <v>9</v>
      </c>
      <c r="H9" s="53">
        <v>8</v>
      </c>
      <c r="I9" s="53">
        <v>9</v>
      </c>
      <c r="J9" s="53">
        <v>9</v>
      </c>
      <c r="K9" s="53">
        <v>9</v>
      </c>
      <c r="L9" s="176">
        <f t="shared" si="0"/>
        <v>8.1428571428571423</v>
      </c>
      <c r="M9" s="177">
        <v>8.6999999999999993</v>
      </c>
      <c r="N9" s="176">
        <f t="shared" si="1"/>
        <v>8.3099999999999987</v>
      </c>
      <c r="O9" s="174">
        <f t="shared" si="2"/>
        <v>8</v>
      </c>
      <c r="P9" s="178">
        <f t="shared" si="3"/>
        <v>8.6258194917794268E-2</v>
      </c>
    </row>
    <row r="10" spans="1:17" ht="15" customHeight="1">
      <c r="A10" s="157">
        <v>5</v>
      </c>
      <c r="B10" s="154" t="str">
        <f>'3a-Attribute Rating(A)'!B10</f>
        <v>친환경성</v>
      </c>
      <c r="C10" s="171">
        <f>'3c-PCM#1'!Q10</f>
        <v>5</v>
      </c>
      <c r="D10" s="53">
        <v>8</v>
      </c>
      <c r="E10" s="53">
        <v>9</v>
      </c>
      <c r="F10" s="53">
        <v>8</v>
      </c>
      <c r="G10" s="53">
        <v>7</v>
      </c>
      <c r="H10" s="53">
        <v>8</v>
      </c>
      <c r="I10" s="53">
        <v>9</v>
      </c>
      <c r="J10" s="53">
        <v>9</v>
      </c>
      <c r="K10" s="53">
        <v>9</v>
      </c>
      <c r="L10" s="176">
        <f t="shared" si="0"/>
        <v>7.7142857142857144</v>
      </c>
      <c r="M10" s="177">
        <v>8.6</v>
      </c>
      <c r="N10" s="176">
        <f t="shared" si="1"/>
        <v>7.9799999999999986</v>
      </c>
      <c r="O10" s="174">
        <f t="shared" si="2"/>
        <v>8</v>
      </c>
      <c r="P10" s="178">
        <f t="shared" si="3"/>
        <v>0.17251638983558867</v>
      </c>
    </row>
    <row r="11" spans="1:17" ht="15" customHeight="1">
      <c r="A11" s="157">
        <v>6</v>
      </c>
      <c r="B11" s="154" t="str">
        <f>'3a-Attribute Rating(A)'!B11</f>
        <v>배수성</v>
      </c>
      <c r="C11" s="171">
        <f>'3c-PCM#1'!Q11</f>
        <v>6</v>
      </c>
      <c r="D11" s="53">
        <v>8</v>
      </c>
      <c r="E11" s="53">
        <v>9</v>
      </c>
      <c r="F11" s="53">
        <v>8</v>
      </c>
      <c r="G11" s="53">
        <v>8</v>
      </c>
      <c r="H11" s="53">
        <v>9</v>
      </c>
      <c r="I11" s="53">
        <v>8</v>
      </c>
      <c r="J11" s="53">
        <v>8</v>
      </c>
      <c r="K11" s="53">
        <v>8</v>
      </c>
      <c r="L11" s="176">
        <f t="shared" si="0"/>
        <v>8</v>
      </c>
      <c r="M11" s="177">
        <v>8.8000000000000007</v>
      </c>
      <c r="N11" s="176">
        <f t="shared" si="1"/>
        <v>8.24</v>
      </c>
      <c r="O11" s="174">
        <f t="shared" si="2"/>
        <v>8</v>
      </c>
      <c r="P11" s="178">
        <f t="shared" si="3"/>
        <v>0.125</v>
      </c>
    </row>
    <row r="12" spans="1:17" ht="15" customHeight="1">
      <c r="A12" s="157">
        <v>7</v>
      </c>
      <c r="B12" s="154" t="str">
        <f>'3a-Attribute Rating(A)'!B12</f>
        <v>교통안전성</v>
      </c>
      <c r="C12" s="171"/>
      <c r="D12" s="53"/>
      <c r="E12" s="53"/>
      <c r="F12" s="53"/>
      <c r="G12" s="53"/>
      <c r="H12" s="53"/>
      <c r="I12" s="53"/>
      <c r="J12" s="53"/>
      <c r="K12" s="53"/>
      <c r="L12" s="176"/>
      <c r="M12" s="177"/>
      <c r="N12" s="176"/>
      <c r="O12" s="174"/>
      <c r="P12" s="178"/>
    </row>
    <row r="13" spans="1:17" ht="15" customHeight="1">
      <c r="A13" s="157">
        <v>8</v>
      </c>
      <c r="B13" s="154" t="str">
        <f>'3a-Attribute Rating(A)'!B13</f>
        <v>민원성</v>
      </c>
      <c r="C13" s="171"/>
      <c r="D13" s="53"/>
      <c r="E13" s="53"/>
      <c r="F13" s="53"/>
      <c r="G13" s="53"/>
      <c r="H13" s="53"/>
      <c r="I13" s="53"/>
      <c r="J13" s="53"/>
      <c r="K13" s="53"/>
      <c r="L13" s="176"/>
      <c r="M13" s="177"/>
      <c r="N13" s="176"/>
      <c r="O13" s="174"/>
      <c r="P13" s="178"/>
    </row>
    <row r="14" spans="1:17" ht="18.95" customHeight="1">
      <c r="A14" s="99" t="s">
        <v>156</v>
      </c>
      <c r="B14" s="183"/>
      <c r="C14" s="183"/>
      <c r="D14" s="183"/>
      <c r="E14" s="183"/>
      <c r="F14" s="183"/>
      <c r="G14" s="183"/>
      <c r="H14" s="183"/>
      <c r="I14" s="183"/>
      <c r="J14" s="37"/>
      <c r="K14" s="37"/>
      <c r="L14" s="37"/>
      <c r="M14" s="37"/>
      <c r="N14" s="37"/>
      <c r="O14" s="37"/>
      <c r="P14" s="100"/>
    </row>
    <row r="15" spans="1:17" ht="15.95" customHeight="1" thickBot="1">
      <c r="A15" s="193" t="s">
        <v>153</v>
      </c>
      <c r="B15" s="190"/>
      <c r="C15" s="150">
        <v>1</v>
      </c>
      <c r="D15" s="151">
        <v>2</v>
      </c>
      <c r="E15" s="151">
        <v>3</v>
      </c>
      <c r="F15" s="151">
        <v>4</v>
      </c>
      <c r="G15" s="151">
        <v>5</v>
      </c>
      <c r="H15" s="151">
        <v>6</v>
      </c>
      <c r="I15" s="151">
        <v>7</v>
      </c>
      <c r="J15" s="151">
        <v>8</v>
      </c>
      <c r="K15" s="37"/>
      <c r="L15" s="152" t="s">
        <v>170</v>
      </c>
      <c r="M15" s="152" t="s">
        <v>151</v>
      </c>
      <c r="N15" s="152" t="s">
        <v>157</v>
      </c>
      <c r="O15" s="152" t="s">
        <v>158</v>
      </c>
      <c r="P15" s="196" t="s">
        <v>172</v>
      </c>
      <c r="Q15" s="2"/>
    </row>
    <row r="16" spans="1:17" ht="15" customHeight="1" thickTop="1">
      <c r="A16" s="153">
        <v>1</v>
      </c>
      <c r="B16" s="154" t="str">
        <f>B6</f>
        <v>시공성</v>
      </c>
      <c r="C16" s="155">
        <v>1</v>
      </c>
      <c r="D16" s="156">
        <f>IF(O6&gt;O7, MAX(O6,O7)-MIN(O6,O7)+1, 1/(MAX(O6,O7)-MIN(O6,O7)+1))</f>
        <v>1</v>
      </c>
      <c r="E16" s="156">
        <f>IF(O6&gt;O8, MAX(O6,O8)-MIN(O6,O8)+1, 1/(MAX(O6,O8)-MIN(O6,O8)+1))</f>
        <v>2</v>
      </c>
      <c r="F16" s="156">
        <f>IF(O6&gt;O9, MAX(O6,O9)-MIN(O6,O9)+1, 1/(MAX(O6,O9)-MIN(O6,O9)+1))</f>
        <v>1</v>
      </c>
      <c r="G16" s="156">
        <f>IF(O6&gt;O10, MAX(O6,O10)-MIN(O6,O10)+1, 1/(MAX(O6,O10)-MIN(O6,O10)+1))</f>
        <v>1</v>
      </c>
      <c r="H16" s="156">
        <f>IF(O6&gt;O11, MAX(O6,O11)-MIN(O6,O11)+1, 1/(MAX(O6,O11)-MIN(O6,O11)+1))</f>
        <v>1</v>
      </c>
      <c r="I16" s="156"/>
      <c r="J16" s="156"/>
      <c r="K16" s="37"/>
      <c r="L16" s="54">
        <f t="shared" ref="L16:L21" si="4">PRODUCT(C16:J16)</f>
        <v>2</v>
      </c>
      <c r="M16" s="53">
        <f t="shared" ref="M16:M21" si="5">$H$15</f>
        <v>6</v>
      </c>
      <c r="N16" s="54">
        <f t="shared" ref="N16:N21" si="6">L16^(1/M16)</f>
        <v>1.122462048309373</v>
      </c>
      <c r="O16" s="54">
        <f t="shared" ref="O16:O21" si="7">N16/$N$24</f>
        <v>0.18181818181818182</v>
      </c>
      <c r="P16" s="197">
        <f t="shared" ref="P16:P21" si="8">ROUND(O16,3)</f>
        <v>0.182</v>
      </c>
      <c r="Q16" s="7"/>
    </row>
    <row r="17" spans="1:17" ht="15" customHeight="1">
      <c r="A17" s="157">
        <v>2</v>
      </c>
      <c r="B17" s="154" t="str">
        <f t="shared" ref="B17:B23" si="9">B7</f>
        <v>유지관리성</v>
      </c>
      <c r="C17" s="158">
        <f>1/D16</f>
        <v>1</v>
      </c>
      <c r="D17" s="159">
        <v>1</v>
      </c>
      <c r="E17" s="180">
        <f>IF(O7&gt;O8, MAX(O7,O8)-MIN(O7,O8)+1, 1/(MAX(O7,O8)-MIN(O7,O8)+1))</f>
        <v>2</v>
      </c>
      <c r="F17" s="180">
        <f>IF(O7&gt;O9, MAX(O7,O9)-MIN(O7,O9)+1, 1/(MAX(O7,O9)-MIN(O7,O9)+1))</f>
        <v>1</v>
      </c>
      <c r="G17" s="180">
        <f>IF(O7&gt;O10, MAX(O7,O10)-MIN(O7,O10)+1, 1/(MAX(O7,O10)-MIN(O7,O10)+1))</f>
        <v>1</v>
      </c>
      <c r="H17" s="180">
        <f>IF(O7&gt;O11, MAX(O7,O11)-MIN(O7,O11)+1, 1/(MAX(O7,O11)-MIN(O7,O11)+1))</f>
        <v>1</v>
      </c>
      <c r="I17" s="180"/>
      <c r="J17" s="180"/>
      <c r="K17" s="37"/>
      <c r="L17" s="54">
        <f t="shared" si="4"/>
        <v>2</v>
      </c>
      <c r="M17" s="53">
        <f t="shared" si="5"/>
        <v>6</v>
      </c>
      <c r="N17" s="54">
        <f t="shared" si="6"/>
        <v>1.122462048309373</v>
      </c>
      <c r="O17" s="54">
        <f t="shared" si="7"/>
        <v>0.18181818181818182</v>
      </c>
      <c r="P17" s="197">
        <f t="shared" si="8"/>
        <v>0.182</v>
      </c>
      <c r="Q17" s="7"/>
    </row>
    <row r="18" spans="1:17" ht="15" customHeight="1">
      <c r="A18" s="157">
        <v>3</v>
      </c>
      <c r="B18" s="154" t="str">
        <f t="shared" si="9"/>
        <v>내구성</v>
      </c>
      <c r="C18" s="158">
        <f>1/E16</f>
        <v>0.5</v>
      </c>
      <c r="D18" s="160">
        <f>1/E17</f>
        <v>0.5</v>
      </c>
      <c r="E18" s="159">
        <v>1</v>
      </c>
      <c r="F18" s="180">
        <f>IF(O8&gt;O9, MAX(O8,O9)-MIN(O8,O9)+1, 1/(MAX(O8,O9)-MIN(O8,O9)+1))</f>
        <v>0.5</v>
      </c>
      <c r="G18" s="180">
        <f>IF(O8&gt;O10, MAX(O8,O10)-MIN(O8,O10)+1, 1/(MAX(O8,O10)-MIN(O8,O10)+1))</f>
        <v>0.5</v>
      </c>
      <c r="H18" s="180">
        <f>IF(O8&gt;O11, MAX(O8,O11)-MIN(O8,O11)+1, 1/(MAX(O8,O11)-MIN(O8,O11)+1))</f>
        <v>0.5</v>
      </c>
      <c r="I18" s="180"/>
      <c r="J18" s="180"/>
      <c r="K18" s="37"/>
      <c r="L18" s="54">
        <f t="shared" si="4"/>
        <v>3.125E-2</v>
      </c>
      <c r="M18" s="53">
        <f t="shared" si="5"/>
        <v>6</v>
      </c>
      <c r="N18" s="54">
        <f t="shared" si="6"/>
        <v>0.56123102415468651</v>
      </c>
      <c r="O18" s="54">
        <f t="shared" si="7"/>
        <v>9.0909090909090912E-2</v>
      </c>
      <c r="P18" s="197">
        <f t="shared" si="8"/>
        <v>9.0999999999999998E-2</v>
      </c>
      <c r="Q18" s="7"/>
    </row>
    <row r="19" spans="1:17" ht="15" customHeight="1">
      <c r="A19" s="157">
        <v>4</v>
      </c>
      <c r="B19" s="154" t="str">
        <f t="shared" si="9"/>
        <v>이용편의성</v>
      </c>
      <c r="C19" s="158">
        <f>1/F16</f>
        <v>1</v>
      </c>
      <c r="D19" s="160">
        <f>1/F17</f>
        <v>1</v>
      </c>
      <c r="E19" s="160">
        <f>1/F18</f>
        <v>2</v>
      </c>
      <c r="F19" s="159">
        <v>1</v>
      </c>
      <c r="G19" s="180">
        <f>IF(O9&gt;O10, MAX(O9,O10)-MIN(O9,O10)+1, 1/(MAX(O9,O10)-MIN(O9,O10)+1))</f>
        <v>1</v>
      </c>
      <c r="H19" s="180">
        <f>IF(O9&gt;O11, MAX(O9,O11)-MIN(O9,O11)+1, 1/(MAX(O9,O11)-MIN(O9,O11)+1))</f>
        <v>1</v>
      </c>
      <c r="I19" s="180"/>
      <c r="J19" s="180"/>
      <c r="K19" s="37"/>
      <c r="L19" s="54">
        <f t="shared" si="4"/>
        <v>2</v>
      </c>
      <c r="M19" s="53">
        <f t="shared" si="5"/>
        <v>6</v>
      </c>
      <c r="N19" s="54">
        <f t="shared" si="6"/>
        <v>1.122462048309373</v>
      </c>
      <c r="O19" s="54">
        <f t="shared" si="7"/>
        <v>0.18181818181818182</v>
      </c>
      <c r="P19" s="197">
        <f t="shared" si="8"/>
        <v>0.182</v>
      </c>
      <c r="Q19" s="7"/>
    </row>
    <row r="20" spans="1:17" ht="15" customHeight="1">
      <c r="A20" s="157">
        <v>5</v>
      </c>
      <c r="B20" s="154" t="str">
        <f t="shared" si="9"/>
        <v>친환경성</v>
      </c>
      <c r="C20" s="158">
        <f>1/G16</f>
        <v>1</v>
      </c>
      <c r="D20" s="160">
        <f>1/G17</f>
        <v>1</v>
      </c>
      <c r="E20" s="160">
        <f>1/G18</f>
        <v>2</v>
      </c>
      <c r="F20" s="160">
        <f>1/G19</f>
        <v>1</v>
      </c>
      <c r="G20" s="159">
        <v>1</v>
      </c>
      <c r="H20" s="180">
        <f>IF(O10&gt;O11, MAX(O10,O11)-MIN(O10,O11)+1, 1/(MAX(O10,O11)-MIN(O10,O11)+1))</f>
        <v>1</v>
      </c>
      <c r="I20" s="180"/>
      <c r="J20" s="180"/>
      <c r="K20" s="37"/>
      <c r="L20" s="54">
        <f t="shared" si="4"/>
        <v>2</v>
      </c>
      <c r="M20" s="53">
        <f t="shared" si="5"/>
        <v>6</v>
      </c>
      <c r="N20" s="54">
        <f t="shared" si="6"/>
        <v>1.122462048309373</v>
      </c>
      <c r="O20" s="54">
        <f t="shared" si="7"/>
        <v>0.18181818181818182</v>
      </c>
      <c r="P20" s="197">
        <f t="shared" si="8"/>
        <v>0.182</v>
      </c>
      <c r="Q20" s="7"/>
    </row>
    <row r="21" spans="1:17" ht="15" customHeight="1">
      <c r="A21" s="157">
        <v>6</v>
      </c>
      <c r="B21" s="154" t="str">
        <f t="shared" si="9"/>
        <v>배수성</v>
      </c>
      <c r="C21" s="158">
        <f>1/H16</f>
        <v>1</v>
      </c>
      <c r="D21" s="160">
        <f>1/H17</f>
        <v>1</v>
      </c>
      <c r="E21" s="160">
        <f>1/H18</f>
        <v>2</v>
      </c>
      <c r="F21" s="160">
        <f>1/H19</f>
        <v>1</v>
      </c>
      <c r="G21" s="160">
        <f>1/H20</f>
        <v>1</v>
      </c>
      <c r="H21" s="159">
        <v>1</v>
      </c>
      <c r="I21" s="180"/>
      <c r="J21" s="180"/>
      <c r="K21" s="37"/>
      <c r="L21" s="54">
        <f t="shared" si="4"/>
        <v>2</v>
      </c>
      <c r="M21" s="53">
        <f t="shared" si="5"/>
        <v>6</v>
      </c>
      <c r="N21" s="54">
        <f t="shared" si="6"/>
        <v>1.122462048309373</v>
      </c>
      <c r="O21" s="54">
        <f t="shared" si="7"/>
        <v>0.18181818181818182</v>
      </c>
      <c r="P21" s="197">
        <f t="shared" si="8"/>
        <v>0.182</v>
      </c>
      <c r="Q21" s="7"/>
    </row>
    <row r="22" spans="1:17" ht="15" customHeight="1">
      <c r="A22" s="157">
        <v>7</v>
      </c>
      <c r="B22" s="154" t="str">
        <f t="shared" si="9"/>
        <v>교통안전성</v>
      </c>
      <c r="C22" s="158"/>
      <c r="D22" s="160"/>
      <c r="E22" s="160"/>
      <c r="F22" s="160"/>
      <c r="G22" s="160"/>
      <c r="H22" s="160"/>
      <c r="I22" s="159"/>
      <c r="J22" s="180"/>
      <c r="K22" s="37"/>
      <c r="L22" s="54"/>
      <c r="M22" s="53"/>
      <c r="N22" s="54"/>
      <c r="O22" s="54"/>
      <c r="P22" s="197"/>
      <c r="Q22" s="7"/>
    </row>
    <row r="23" spans="1:17" ht="15" customHeight="1">
      <c r="A23" s="157">
        <v>8</v>
      </c>
      <c r="B23" s="154" t="str">
        <f t="shared" si="9"/>
        <v>민원성</v>
      </c>
      <c r="C23" s="158"/>
      <c r="D23" s="160"/>
      <c r="E23" s="160"/>
      <c r="F23" s="160"/>
      <c r="G23" s="160"/>
      <c r="H23" s="160"/>
      <c r="I23" s="160"/>
      <c r="J23" s="159"/>
      <c r="K23" s="37"/>
      <c r="L23" s="161"/>
      <c r="M23" s="162"/>
      <c r="N23" s="161"/>
      <c r="O23" s="161"/>
      <c r="P23" s="198"/>
      <c r="Q23" s="7"/>
    </row>
    <row r="24" spans="1:17" ht="15" customHeight="1">
      <c r="A24" s="191" t="s">
        <v>173</v>
      </c>
      <c r="B24" s="163"/>
      <c r="C24" s="158">
        <f t="shared" ref="C24:H24" si="10">SUM(C16:C23)</f>
        <v>5.5</v>
      </c>
      <c r="D24" s="160">
        <f t="shared" si="10"/>
        <v>5.5</v>
      </c>
      <c r="E24" s="160">
        <f t="shared" si="10"/>
        <v>11</v>
      </c>
      <c r="F24" s="160">
        <f t="shared" si="10"/>
        <v>5.5</v>
      </c>
      <c r="G24" s="160">
        <f t="shared" si="10"/>
        <v>5.5</v>
      </c>
      <c r="H24" s="160">
        <f t="shared" si="10"/>
        <v>5.5</v>
      </c>
      <c r="I24" s="160"/>
      <c r="J24" s="160"/>
      <c r="K24" s="37"/>
      <c r="L24" s="77" t="s">
        <v>159</v>
      </c>
      <c r="M24" s="77"/>
      <c r="N24" s="54">
        <f>SUM(N16:N23)</f>
        <v>6.1735412657015516</v>
      </c>
      <c r="O24" s="199">
        <f>SUM(O16:O23)</f>
        <v>1.0000000000000002</v>
      </c>
      <c r="P24" s="200">
        <f>SUM(P16:P23)</f>
        <v>1.0009999999999999</v>
      </c>
    </row>
    <row r="25" spans="1:17" ht="18.95" customHeight="1">
      <c r="A25" s="99" t="s">
        <v>160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100"/>
    </row>
    <row r="26" spans="1:17" ht="15" customHeight="1">
      <c r="A26" s="165" t="s">
        <v>161</v>
      </c>
      <c r="B26" s="166"/>
      <c r="C26" s="184">
        <f>MMULT(C24:H24,O16:O21)</f>
        <v>6</v>
      </c>
      <c r="D26" s="37" t="s">
        <v>174</v>
      </c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100"/>
    </row>
    <row r="27" spans="1:17" ht="15" customHeight="1">
      <c r="A27" s="165" t="s">
        <v>162</v>
      </c>
      <c r="B27" s="37"/>
      <c r="C27" s="184">
        <f>(C26-M16)/(M16-1)</f>
        <v>0</v>
      </c>
      <c r="D27" s="37" t="s">
        <v>175</v>
      </c>
      <c r="E27" s="37"/>
      <c r="F27" s="37"/>
      <c r="G27" s="37"/>
      <c r="H27" s="166" t="s">
        <v>163</v>
      </c>
      <c r="I27" s="37"/>
      <c r="J27" s="184">
        <f>C27/(HLOOKUP(M16,C28:J29,2,TRUE))</f>
        <v>0</v>
      </c>
      <c r="K27" s="37" t="s">
        <v>176</v>
      </c>
      <c r="L27" s="37"/>
      <c r="M27" s="37"/>
      <c r="N27" s="37"/>
      <c r="O27" s="37"/>
      <c r="P27" s="100"/>
    </row>
    <row r="28" spans="1:17" ht="15" customHeight="1">
      <c r="A28" s="167"/>
      <c r="B28" s="152" t="s">
        <v>151</v>
      </c>
      <c r="C28" s="53">
        <v>3</v>
      </c>
      <c r="D28" s="53">
        <v>4</v>
      </c>
      <c r="E28" s="53">
        <v>5</v>
      </c>
      <c r="F28" s="53">
        <v>6</v>
      </c>
      <c r="G28" s="53">
        <v>7</v>
      </c>
      <c r="H28" s="53">
        <v>8</v>
      </c>
      <c r="I28" s="53">
        <v>9</v>
      </c>
      <c r="J28" s="53">
        <v>10</v>
      </c>
      <c r="K28" s="37"/>
      <c r="L28" s="37"/>
      <c r="M28" s="37"/>
      <c r="N28" s="37"/>
      <c r="O28" s="37"/>
      <c r="P28" s="100"/>
    </row>
    <row r="29" spans="1:17" ht="15" customHeight="1">
      <c r="A29" s="167"/>
      <c r="B29" s="152" t="s">
        <v>152</v>
      </c>
      <c r="C29" s="53">
        <v>0.57999999999999996</v>
      </c>
      <c r="D29" s="53">
        <v>0.9</v>
      </c>
      <c r="E29" s="53">
        <v>1.1200000000000001</v>
      </c>
      <c r="F29" s="53">
        <v>1.24</v>
      </c>
      <c r="G29" s="53">
        <v>1.32</v>
      </c>
      <c r="H29" s="53">
        <v>1.41</v>
      </c>
      <c r="I29" s="53">
        <v>1.45</v>
      </c>
      <c r="J29" s="53">
        <v>1.51</v>
      </c>
      <c r="K29" s="37"/>
      <c r="L29" s="37"/>
      <c r="M29" s="37"/>
      <c r="N29" s="37"/>
      <c r="O29" s="37"/>
      <c r="P29" s="100"/>
    </row>
    <row r="30" spans="1:17" ht="8.25" customHeight="1" thickBot="1">
      <c r="A30" s="103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5"/>
    </row>
  </sheetData>
  <mergeCells count="10">
    <mergeCell ref="A1:P1"/>
    <mergeCell ref="A2:B2"/>
    <mergeCell ref="C2:N2"/>
    <mergeCell ref="C4:K4"/>
    <mergeCell ref="N4:O4"/>
    <mergeCell ref="P4:P5"/>
    <mergeCell ref="B4:B5"/>
    <mergeCell ref="A4:A5"/>
    <mergeCell ref="L4:L5"/>
    <mergeCell ref="M4:M5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1:Q36"/>
  <sheetViews>
    <sheetView view="pageBreakPreview" zoomScale="115" zoomScaleNormal="115" zoomScaleSheetLayoutView="115" workbookViewId="0">
      <selection activeCell="B6" sqref="B6:B13"/>
    </sheetView>
  </sheetViews>
  <sheetFormatPr defaultRowHeight="13.5"/>
  <cols>
    <col min="1" max="1" width="4" style="377" customWidth="1"/>
    <col min="2" max="2" width="18.109375" style="377" customWidth="1"/>
    <col min="3" max="10" width="5.33203125" style="377" customWidth="1"/>
    <col min="11" max="11" width="1.109375" style="377" customWidth="1"/>
    <col min="12" max="12" width="6.21875" style="377" customWidth="1"/>
    <col min="13" max="13" width="4.33203125" style="377" customWidth="1"/>
    <col min="14" max="14" width="9.44140625" style="377" customWidth="1"/>
    <col min="15" max="15" width="10.109375" style="377" customWidth="1"/>
    <col min="16" max="16" width="7.6640625" style="377" customWidth="1"/>
    <col min="17" max="17" width="5.21875" style="377" customWidth="1"/>
    <col min="18" max="16384" width="8.88671875" style="377"/>
  </cols>
  <sheetData>
    <row r="1" spans="1:17" ht="30" customHeight="1">
      <c r="A1" s="729" t="s">
        <v>187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1"/>
    </row>
    <row r="2" spans="1:17" ht="20.100000000000001" customHeight="1">
      <c r="A2" s="760" t="str">
        <f>'1a-Performance'!A2</f>
        <v xml:space="preserve">VE Title : </v>
      </c>
      <c r="B2" s="761"/>
      <c r="C2" s="798" t="str">
        <f>'1a-Performance'!B2</f>
        <v>포장두께</v>
      </c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8"/>
      <c r="O2" s="798"/>
      <c r="P2" s="798"/>
      <c r="Q2" s="811"/>
    </row>
    <row r="3" spans="1:17" ht="23.25" customHeight="1">
      <c r="A3" s="427" t="s">
        <v>179</v>
      </c>
      <c r="G3" s="377" t="s">
        <v>336</v>
      </c>
      <c r="Q3" s="428"/>
    </row>
    <row r="4" spans="1:17" ht="8.25" customHeight="1">
      <c r="A4" s="461"/>
      <c r="Q4" s="428"/>
    </row>
    <row r="5" spans="1:17" ht="21" customHeight="1" thickBot="1">
      <c r="A5" s="429" t="s">
        <v>323</v>
      </c>
      <c r="B5" s="430"/>
      <c r="C5" s="431">
        <v>1</v>
      </c>
      <c r="D5" s="432">
        <v>2</v>
      </c>
      <c r="E5" s="432">
        <v>3</v>
      </c>
      <c r="F5" s="432">
        <v>4</v>
      </c>
      <c r="G5" s="432">
        <v>5</v>
      </c>
      <c r="H5" s="432">
        <v>6</v>
      </c>
      <c r="I5" s="432">
        <v>7</v>
      </c>
      <c r="J5" s="432">
        <v>8</v>
      </c>
      <c r="L5" s="433" t="s">
        <v>320</v>
      </c>
      <c r="M5" s="433" t="s">
        <v>151</v>
      </c>
      <c r="N5" s="433" t="s">
        <v>157</v>
      </c>
      <c r="O5" s="433" t="s">
        <v>158</v>
      </c>
      <c r="P5" s="482" t="s">
        <v>337</v>
      </c>
      <c r="Q5" s="483" t="s">
        <v>335</v>
      </c>
    </row>
    <row r="6" spans="1:17" ht="21" customHeight="1" thickTop="1">
      <c r="A6" s="436">
        <v>1</v>
      </c>
      <c r="B6" s="722" t="str">
        <f>'3a-Attribute Rating(A)'!B6</f>
        <v>시공성</v>
      </c>
      <c r="C6" s="438">
        <v>1</v>
      </c>
      <c r="D6" s="439">
        <v>1</v>
      </c>
      <c r="E6" s="439">
        <v>1.5</v>
      </c>
      <c r="F6" s="439">
        <v>1</v>
      </c>
      <c r="G6" s="439">
        <v>1.5</v>
      </c>
      <c r="H6" s="439">
        <v>2</v>
      </c>
      <c r="I6" s="439">
        <v>2</v>
      </c>
      <c r="J6" s="439">
        <v>1</v>
      </c>
      <c r="L6" s="440">
        <f t="shared" ref="L6:L11" si="0">PRODUCT(C6:J6)</f>
        <v>9</v>
      </c>
      <c r="M6" s="441">
        <f t="shared" ref="M6:M13" si="1">IF($J$6&lt;&gt;"",8,(IF($I$6&lt;&gt;"",7,(IF($H$6&lt;&gt;"",6,5)))))</f>
        <v>8</v>
      </c>
      <c r="N6" s="440">
        <f t="shared" ref="N6:N11" si="2">L6^(1/M6)</f>
        <v>1.3160740129524926</v>
      </c>
      <c r="O6" s="440">
        <f t="shared" ref="O6:O13" si="3">N6/$N$14</f>
        <v>0.16271658990057716</v>
      </c>
      <c r="P6" s="484">
        <f t="shared" ref="P6:P13" si="4">ROUND(O6,3)</f>
        <v>0.16300000000000001</v>
      </c>
      <c r="Q6" s="485">
        <f t="shared" ref="Q6:Q11" si="5">ROUND(O6/MAX($O$6:$O$13)*9,0)</f>
        <v>9</v>
      </c>
    </row>
    <row r="7" spans="1:17" ht="21" customHeight="1">
      <c r="A7" s="445">
        <v>2</v>
      </c>
      <c r="B7" s="722" t="str">
        <f>'3a-Attribute Rating(A)'!B7</f>
        <v>유지관리성</v>
      </c>
      <c r="C7" s="446">
        <f>1/D6</f>
        <v>1</v>
      </c>
      <c r="D7" s="447">
        <v>1</v>
      </c>
      <c r="E7" s="486">
        <v>1</v>
      </c>
      <c r="F7" s="486">
        <v>1</v>
      </c>
      <c r="G7" s="486">
        <v>1.5</v>
      </c>
      <c r="H7" s="486">
        <v>1</v>
      </c>
      <c r="I7" s="486">
        <v>2</v>
      </c>
      <c r="J7" s="486">
        <v>1</v>
      </c>
      <c r="L7" s="440">
        <f t="shared" si="0"/>
        <v>3</v>
      </c>
      <c r="M7" s="441">
        <f t="shared" si="1"/>
        <v>8</v>
      </c>
      <c r="N7" s="440">
        <f t="shared" si="2"/>
        <v>1.1472026904398771</v>
      </c>
      <c r="O7" s="440">
        <f t="shared" si="3"/>
        <v>0.14183769900172216</v>
      </c>
      <c r="P7" s="484">
        <f t="shared" si="4"/>
        <v>0.14199999999999999</v>
      </c>
      <c r="Q7" s="485">
        <f t="shared" si="5"/>
        <v>8</v>
      </c>
    </row>
    <row r="8" spans="1:17" ht="21" customHeight="1">
      <c r="A8" s="445">
        <v>3</v>
      </c>
      <c r="B8" s="722" t="str">
        <f>'3a-Attribute Rating(A)'!B8</f>
        <v>내구성</v>
      </c>
      <c r="C8" s="446">
        <f>1/E6</f>
        <v>0.66666666666666663</v>
      </c>
      <c r="D8" s="448">
        <f>1/E7</f>
        <v>1</v>
      </c>
      <c r="E8" s="447">
        <v>1</v>
      </c>
      <c r="F8" s="486">
        <v>1.5</v>
      </c>
      <c r="G8" s="486">
        <v>1</v>
      </c>
      <c r="H8" s="486">
        <v>1</v>
      </c>
      <c r="I8" s="486">
        <v>1.5</v>
      </c>
      <c r="J8" s="486">
        <v>1</v>
      </c>
      <c r="L8" s="440">
        <f t="shared" si="0"/>
        <v>1.5</v>
      </c>
      <c r="M8" s="441">
        <f t="shared" si="1"/>
        <v>8</v>
      </c>
      <c r="N8" s="440">
        <f t="shared" si="2"/>
        <v>1.0519895055086441</v>
      </c>
      <c r="O8" s="440">
        <f t="shared" si="3"/>
        <v>0.13006574346342639</v>
      </c>
      <c r="P8" s="484">
        <f>ROUND(O8,3)</f>
        <v>0.13</v>
      </c>
      <c r="Q8" s="485">
        <f t="shared" si="5"/>
        <v>7</v>
      </c>
    </row>
    <row r="9" spans="1:17" ht="21" customHeight="1">
      <c r="A9" s="445">
        <v>4</v>
      </c>
      <c r="B9" s="722" t="str">
        <f>'3a-Attribute Rating(A)'!B9</f>
        <v>이용편의성</v>
      </c>
      <c r="C9" s="446">
        <f>1/F6</f>
        <v>1</v>
      </c>
      <c r="D9" s="448">
        <f>1/F7</f>
        <v>1</v>
      </c>
      <c r="E9" s="448">
        <f>1/F8</f>
        <v>0.66666666666666663</v>
      </c>
      <c r="F9" s="447">
        <v>1</v>
      </c>
      <c r="G9" s="486">
        <v>1</v>
      </c>
      <c r="H9" s="486">
        <v>1</v>
      </c>
      <c r="I9" s="486">
        <v>1</v>
      </c>
      <c r="J9" s="486">
        <v>1</v>
      </c>
      <c r="L9" s="440">
        <f t="shared" si="0"/>
        <v>0.66666666666666663</v>
      </c>
      <c r="M9" s="441">
        <f t="shared" si="1"/>
        <v>8</v>
      </c>
      <c r="N9" s="440">
        <f t="shared" si="2"/>
        <v>0.95057982495414073</v>
      </c>
      <c r="O9" s="440">
        <f t="shared" si="3"/>
        <v>0.11752766639455617</v>
      </c>
      <c r="P9" s="484">
        <f>ROUND(O9,3)</f>
        <v>0.11799999999999999</v>
      </c>
      <c r="Q9" s="485">
        <f t="shared" si="5"/>
        <v>7</v>
      </c>
    </row>
    <row r="10" spans="1:17" ht="21" customHeight="1">
      <c r="A10" s="445">
        <v>5</v>
      </c>
      <c r="B10" s="722" t="str">
        <f>'3a-Attribute Rating(A)'!B10</f>
        <v>친환경성</v>
      </c>
      <c r="C10" s="446">
        <f>1/G6</f>
        <v>0.66666666666666663</v>
      </c>
      <c r="D10" s="448">
        <f>1/G7</f>
        <v>0.66666666666666663</v>
      </c>
      <c r="E10" s="448">
        <f>1/G8</f>
        <v>1</v>
      </c>
      <c r="F10" s="448">
        <f>1/G9</f>
        <v>1</v>
      </c>
      <c r="G10" s="447">
        <v>1</v>
      </c>
      <c r="H10" s="486">
        <v>0.7</v>
      </c>
      <c r="I10" s="486">
        <v>0.5</v>
      </c>
      <c r="J10" s="486">
        <v>1</v>
      </c>
      <c r="L10" s="440">
        <f t="shared" si="0"/>
        <v>0.15555555555555553</v>
      </c>
      <c r="M10" s="441">
        <f t="shared" si="1"/>
        <v>8</v>
      </c>
      <c r="N10" s="440">
        <f t="shared" si="2"/>
        <v>0.79247521942068888</v>
      </c>
      <c r="O10" s="440">
        <f t="shared" si="3"/>
        <v>9.7979949467705899E-2</v>
      </c>
      <c r="P10" s="484">
        <f t="shared" si="4"/>
        <v>9.8000000000000004E-2</v>
      </c>
      <c r="Q10" s="485">
        <f t="shared" si="5"/>
        <v>5</v>
      </c>
    </row>
    <row r="11" spans="1:17" ht="21" customHeight="1">
      <c r="A11" s="445">
        <v>6</v>
      </c>
      <c r="B11" s="722" t="str">
        <f>'3a-Attribute Rating(A)'!B11</f>
        <v>배수성</v>
      </c>
      <c r="C11" s="446">
        <f>1/H6</f>
        <v>0.5</v>
      </c>
      <c r="D11" s="448">
        <f>1/H7</f>
        <v>1</v>
      </c>
      <c r="E11" s="448">
        <f>1/H8</f>
        <v>1</v>
      </c>
      <c r="F11" s="448">
        <f>1/H9</f>
        <v>1</v>
      </c>
      <c r="G11" s="448">
        <f>1/H10</f>
        <v>1.4285714285714286</v>
      </c>
      <c r="H11" s="447">
        <v>1</v>
      </c>
      <c r="I11" s="486">
        <v>0.5</v>
      </c>
      <c r="J11" s="486">
        <v>1</v>
      </c>
      <c r="L11" s="440">
        <f t="shared" si="0"/>
        <v>0.35714285714285715</v>
      </c>
      <c r="M11" s="441">
        <f t="shared" si="1"/>
        <v>8</v>
      </c>
      <c r="N11" s="440">
        <f t="shared" si="2"/>
        <v>0.87923556325591468</v>
      </c>
      <c r="O11" s="440">
        <f t="shared" si="3"/>
        <v>0.10870681372346193</v>
      </c>
      <c r="P11" s="484">
        <f t="shared" si="4"/>
        <v>0.109</v>
      </c>
      <c r="Q11" s="485">
        <f t="shared" si="5"/>
        <v>6</v>
      </c>
    </row>
    <row r="12" spans="1:17" ht="21" customHeight="1">
      <c r="A12" s="445">
        <v>7</v>
      </c>
      <c r="B12" s="722" t="str">
        <f>'3a-Attribute Rating(A)'!B12</f>
        <v>교통안전성</v>
      </c>
      <c r="C12" s="446">
        <f>1/I6</f>
        <v>0.5</v>
      </c>
      <c r="D12" s="446">
        <f>1/I7</f>
        <v>0.5</v>
      </c>
      <c r="E12" s="446">
        <f>1/I8</f>
        <v>0.66666666666666663</v>
      </c>
      <c r="F12" s="446">
        <f>1/I9</f>
        <v>1</v>
      </c>
      <c r="G12" s="446">
        <f>1/I10</f>
        <v>2</v>
      </c>
      <c r="H12" s="446">
        <f>1/I11</f>
        <v>2</v>
      </c>
      <c r="I12" s="447">
        <v>1</v>
      </c>
      <c r="J12" s="486">
        <v>1</v>
      </c>
      <c r="L12" s="440">
        <f>PRODUCT(C12:J12)</f>
        <v>0.66666666666666663</v>
      </c>
      <c r="M12" s="441">
        <f t="shared" si="1"/>
        <v>8</v>
      </c>
      <c r="N12" s="440">
        <f>L12^(1/M12)</f>
        <v>0.95057982495414073</v>
      </c>
      <c r="O12" s="440">
        <f t="shared" si="3"/>
        <v>0.11752766639455617</v>
      </c>
      <c r="P12" s="484">
        <f t="shared" si="4"/>
        <v>0.11799999999999999</v>
      </c>
      <c r="Q12" s="485">
        <f>ROUND(O12/MAX($O$6:$O$13)*9,0)</f>
        <v>7</v>
      </c>
    </row>
    <row r="13" spans="1:17" ht="21" customHeight="1">
      <c r="A13" s="445">
        <v>8</v>
      </c>
      <c r="B13" s="722" t="str">
        <f>'3a-Attribute Rating(A)'!B13</f>
        <v>민원성</v>
      </c>
      <c r="C13" s="446">
        <f>1/J6</f>
        <v>1</v>
      </c>
      <c r="D13" s="446">
        <f>1/J7</f>
        <v>1</v>
      </c>
      <c r="E13" s="446">
        <f>1/J8</f>
        <v>1</v>
      </c>
      <c r="F13" s="446">
        <f>1/J9</f>
        <v>1</v>
      </c>
      <c r="G13" s="446">
        <f>1/J10</f>
        <v>1</v>
      </c>
      <c r="H13" s="446">
        <f>1/J11</f>
        <v>1</v>
      </c>
      <c r="I13" s="446">
        <f>1/J12</f>
        <v>1</v>
      </c>
      <c r="J13" s="447">
        <v>1</v>
      </c>
      <c r="L13" s="440">
        <f>PRODUCT(C13:J13)</f>
        <v>1</v>
      </c>
      <c r="M13" s="441">
        <f t="shared" si="1"/>
        <v>8</v>
      </c>
      <c r="N13" s="440">
        <f>L13^(1/M13)</f>
        <v>1</v>
      </c>
      <c r="O13" s="440">
        <f t="shared" si="3"/>
        <v>0.12363787165399404</v>
      </c>
      <c r="P13" s="484">
        <f t="shared" si="4"/>
        <v>0.124</v>
      </c>
      <c r="Q13" s="485">
        <f>ROUND(O13/MAX($O$6:$O$13)*9,0)</f>
        <v>7</v>
      </c>
    </row>
    <row r="14" spans="1:17" ht="21" customHeight="1">
      <c r="A14" s="453" t="s">
        <v>325</v>
      </c>
      <c r="B14" s="454"/>
      <c r="C14" s="446">
        <f t="shared" ref="C14:J14" si="6">SUM(C6:C13)</f>
        <v>6.333333333333333</v>
      </c>
      <c r="D14" s="448">
        <f t="shared" si="6"/>
        <v>7.166666666666667</v>
      </c>
      <c r="E14" s="448">
        <f t="shared" si="6"/>
        <v>7.8333333333333339</v>
      </c>
      <c r="F14" s="448">
        <f t="shared" si="6"/>
        <v>8.5</v>
      </c>
      <c r="G14" s="448">
        <f t="shared" si="6"/>
        <v>10.428571428571429</v>
      </c>
      <c r="H14" s="448">
        <f t="shared" si="6"/>
        <v>9.6999999999999993</v>
      </c>
      <c r="I14" s="448">
        <f t="shared" si="6"/>
        <v>9.5</v>
      </c>
      <c r="J14" s="448">
        <f t="shared" si="6"/>
        <v>8</v>
      </c>
      <c r="L14" s="455" t="s">
        <v>159</v>
      </c>
      <c r="M14" s="455"/>
      <c r="N14" s="440">
        <f>SUM(N6:N13)</f>
        <v>8.0881366414858995</v>
      </c>
      <c r="O14" s="456">
        <f>SUM(O6:O13)</f>
        <v>0.99999999999999978</v>
      </c>
      <c r="P14" s="484">
        <f>SUM(P6:P13)</f>
        <v>1.0019999999999998</v>
      </c>
      <c r="Q14" s="487"/>
    </row>
    <row r="15" spans="1:17" ht="7.5" customHeight="1">
      <c r="A15" s="461"/>
      <c r="Q15" s="428"/>
    </row>
    <row r="16" spans="1:17" ht="23.25" customHeight="1">
      <c r="A16" s="427" t="s">
        <v>180</v>
      </c>
      <c r="Q16" s="428"/>
    </row>
    <row r="17" spans="1:17" ht="21" customHeight="1">
      <c r="A17" s="458" t="s">
        <v>181</v>
      </c>
      <c r="B17" s="459"/>
      <c r="C17" s="488">
        <f>MMULT(C14:J14,O6:O13)</f>
        <v>8.2467381990561712</v>
      </c>
      <c r="D17" s="377" t="s">
        <v>327</v>
      </c>
      <c r="Q17" s="428"/>
    </row>
    <row r="18" spans="1:17" ht="21" customHeight="1">
      <c r="A18" s="458" t="s">
        <v>182</v>
      </c>
      <c r="C18" s="488">
        <f>(C17-M6)/(M6-1)</f>
        <v>3.5248314150881602E-2</v>
      </c>
      <c r="D18" s="377" t="s">
        <v>329</v>
      </c>
      <c r="Q18" s="428"/>
    </row>
    <row r="19" spans="1:17" ht="21" customHeight="1">
      <c r="A19" s="458" t="s">
        <v>183</v>
      </c>
      <c r="C19" s="488">
        <f>C18/(HLOOKUP(M6,C20:J21,2,TRUE))</f>
        <v>2.4998804362327379E-2</v>
      </c>
      <c r="D19" s="377" t="s">
        <v>331</v>
      </c>
      <c r="F19" s="377" t="str">
        <f>IF(C19&lt;=0.1,"∴O.K","∴N.G")</f>
        <v>∴O.K</v>
      </c>
      <c r="Q19" s="428"/>
    </row>
    <row r="20" spans="1:17" ht="21" customHeight="1">
      <c r="A20" s="461"/>
      <c r="B20" s="433" t="s">
        <v>151</v>
      </c>
      <c r="C20" s="441">
        <v>3</v>
      </c>
      <c r="D20" s="441">
        <v>4</v>
      </c>
      <c r="E20" s="441">
        <v>5</v>
      </c>
      <c r="F20" s="441">
        <v>6</v>
      </c>
      <c r="G20" s="441">
        <v>7</v>
      </c>
      <c r="H20" s="441">
        <v>8</v>
      </c>
      <c r="I20" s="441">
        <v>9</v>
      </c>
      <c r="J20" s="441">
        <v>10</v>
      </c>
      <c r="Q20" s="428"/>
    </row>
    <row r="21" spans="1:17" ht="21" customHeight="1">
      <c r="A21" s="461"/>
      <c r="B21" s="433" t="s">
        <v>152</v>
      </c>
      <c r="C21" s="441">
        <v>0.57999999999999996</v>
      </c>
      <c r="D21" s="441">
        <v>0.9</v>
      </c>
      <c r="E21" s="441">
        <v>1.1200000000000001</v>
      </c>
      <c r="F21" s="441">
        <v>1.24</v>
      </c>
      <c r="G21" s="441">
        <v>1.32</v>
      </c>
      <c r="H21" s="441">
        <v>1.41</v>
      </c>
      <c r="I21" s="441">
        <v>1.45</v>
      </c>
      <c r="J21" s="441">
        <v>1.51</v>
      </c>
      <c r="Q21" s="428"/>
    </row>
    <row r="22" spans="1:17" ht="51" customHeight="1" thickBot="1">
      <c r="A22" s="462"/>
      <c r="B22" s="463"/>
      <c r="C22" s="463"/>
      <c r="D22" s="463"/>
      <c r="E22" s="463"/>
      <c r="F22" s="463"/>
      <c r="G22" s="463"/>
      <c r="H22" s="463"/>
      <c r="I22" s="463"/>
      <c r="J22" s="463"/>
      <c r="K22" s="463"/>
      <c r="L22" s="463"/>
      <c r="M22" s="463"/>
      <c r="N22" s="463"/>
      <c r="O22" s="463"/>
      <c r="P22" s="463"/>
      <c r="Q22" s="464"/>
    </row>
    <row r="23" spans="1:17" ht="18.95" customHeight="1"/>
    <row r="24" spans="1:17" ht="18.95" customHeight="1"/>
    <row r="25" spans="1:17" ht="17.100000000000001" customHeight="1"/>
    <row r="26" spans="1:17" ht="17.100000000000001" customHeight="1"/>
    <row r="27" spans="1:17" ht="17.100000000000001" customHeight="1"/>
    <row r="28" spans="1:17" ht="17.100000000000001" customHeight="1"/>
    <row r="29" spans="1:17" ht="17.100000000000001" customHeight="1"/>
    <row r="30" spans="1:17" ht="17.100000000000001" customHeight="1"/>
    <row r="31" spans="1:17" ht="17.100000000000001" customHeight="1"/>
    <row r="32" spans="1:17" ht="17.100000000000001" customHeight="1"/>
    <row r="33" ht="17.100000000000001" customHeight="1"/>
    <row r="34" ht="17.100000000000001" customHeight="1"/>
    <row r="35" ht="17.100000000000001" customHeight="1"/>
    <row r="36" ht="17.100000000000001" customHeight="1"/>
  </sheetData>
  <mergeCells count="3">
    <mergeCell ref="A2:B2"/>
    <mergeCell ref="A1:Q1"/>
    <mergeCell ref="C2:Q2"/>
  </mergeCells>
  <phoneticPr fontId="2" type="noConversion"/>
  <pageMargins left="0.78740157480314965" right="1.1811023622047245" top="0.78740157480314965" bottom="0.78740157480314965" header="0.55118110236220474" footer="0.59055118110236227"/>
  <pageSetup paperSize="9" scale="99" orientation="landscape" r:id="rId1"/>
  <headerFooter alignWithMargins="0">
    <oddHeader>&amp;C&amp;"Book Antiqua,보통"&amp;10PUERTO PRINCESA AIRPORT DEVELOPMENT PROJECT</oddHeader>
    <oddFooter>&amp;C&amp;"Times New Roman,보통"&amp;A</oddFooter>
  </headerFooter>
  <ignoredErrors>
    <ignoredError sqref="H14:I14 J14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36"/>
  <sheetViews>
    <sheetView view="pageBreakPreview" zoomScale="115" zoomScaleNormal="115" zoomScaleSheetLayoutView="115" workbookViewId="0">
      <selection activeCell="N16" sqref="N16"/>
    </sheetView>
  </sheetViews>
  <sheetFormatPr defaultRowHeight="12"/>
  <cols>
    <col min="1" max="1" width="4" style="1" customWidth="1"/>
    <col min="2" max="2" width="13.5546875" style="1" customWidth="1"/>
    <col min="3" max="10" width="5.77734375" style="1" customWidth="1"/>
    <col min="11" max="11" width="1.109375" style="1" customWidth="1"/>
    <col min="12" max="12" width="6.21875" style="1" customWidth="1"/>
    <col min="13" max="13" width="4.33203125" style="1" customWidth="1"/>
    <col min="14" max="14" width="9.44140625" style="1" customWidth="1"/>
    <col min="15" max="15" width="10.109375" style="1" customWidth="1"/>
    <col min="16" max="16" width="7.6640625" style="1" customWidth="1"/>
    <col min="17" max="17" width="5.21875" style="1" customWidth="1"/>
    <col min="18" max="16384" width="8.88671875" style="1"/>
  </cols>
  <sheetData>
    <row r="1" spans="1:17" ht="30" customHeight="1">
      <c r="A1" s="749" t="s">
        <v>188</v>
      </c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84"/>
      <c r="N1" s="784"/>
      <c r="O1" s="784"/>
      <c r="P1" s="784"/>
      <c r="Q1" s="750"/>
    </row>
    <row r="2" spans="1:17" ht="20.100000000000001" customHeight="1">
      <c r="A2" s="785" t="str">
        <f>'1a-Performance'!A2</f>
        <v xml:space="preserve">VE Title : </v>
      </c>
      <c r="B2" s="786"/>
      <c r="C2" s="787" t="str">
        <f>'1a-Performance'!B2</f>
        <v>포장두께</v>
      </c>
      <c r="D2" s="787"/>
      <c r="E2" s="787"/>
      <c r="F2" s="787"/>
      <c r="G2" s="787"/>
      <c r="H2" s="787"/>
      <c r="I2" s="787"/>
      <c r="J2" s="787"/>
      <c r="K2" s="787"/>
      <c r="L2" s="787"/>
      <c r="M2" s="787"/>
      <c r="N2" s="787"/>
      <c r="O2" s="787"/>
      <c r="P2" s="787"/>
      <c r="Q2" s="812"/>
    </row>
    <row r="3" spans="1:17" ht="23.25" customHeight="1">
      <c r="A3" s="99" t="s">
        <v>179</v>
      </c>
      <c r="B3" s="37"/>
      <c r="C3" s="37"/>
      <c r="D3" s="37"/>
      <c r="E3" s="37"/>
      <c r="F3" s="37"/>
      <c r="G3" s="37" t="s">
        <v>189</v>
      </c>
      <c r="H3" s="37"/>
      <c r="I3" s="37"/>
      <c r="J3" s="37"/>
      <c r="K3" s="37"/>
      <c r="L3" s="37"/>
      <c r="M3" s="37"/>
      <c r="N3" s="37"/>
      <c r="O3" s="37"/>
      <c r="P3" s="37"/>
      <c r="Q3" s="100"/>
    </row>
    <row r="4" spans="1:17" ht="8.25" customHeight="1">
      <c r="A4" s="16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100"/>
    </row>
    <row r="5" spans="1:17" ht="21" customHeight="1" thickBot="1">
      <c r="A5" s="193" t="s">
        <v>153</v>
      </c>
      <c r="B5" s="190"/>
      <c r="C5" s="150">
        <v>1</v>
      </c>
      <c r="D5" s="151">
        <v>2</v>
      </c>
      <c r="E5" s="151">
        <v>3</v>
      </c>
      <c r="F5" s="151">
        <v>4</v>
      </c>
      <c r="G5" s="151">
        <v>5</v>
      </c>
      <c r="H5" s="151">
        <v>6</v>
      </c>
      <c r="I5" s="151">
        <v>7</v>
      </c>
      <c r="J5" s="151">
        <v>8</v>
      </c>
      <c r="K5" s="37"/>
      <c r="L5" s="152" t="s">
        <v>170</v>
      </c>
      <c r="M5" s="152" t="s">
        <v>151</v>
      </c>
      <c r="N5" s="152" t="s">
        <v>157</v>
      </c>
      <c r="O5" s="152" t="s">
        <v>158</v>
      </c>
      <c r="P5" s="192" t="s">
        <v>172</v>
      </c>
      <c r="Q5" s="194" t="s">
        <v>184</v>
      </c>
    </row>
    <row r="6" spans="1:17" ht="21" customHeight="1" thickTop="1">
      <c r="A6" s="153">
        <v>1</v>
      </c>
      <c r="B6" s="154" t="str">
        <f>'3a-Attribute Rating(A)'!B6</f>
        <v>시공성</v>
      </c>
      <c r="C6" s="155">
        <v>1</v>
      </c>
      <c r="D6" s="156">
        <v>1</v>
      </c>
      <c r="E6" s="156">
        <v>2</v>
      </c>
      <c r="F6" s="156">
        <v>2</v>
      </c>
      <c r="G6" s="156">
        <v>2</v>
      </c>
      <c r="H6" s="156">
        <v>3</v>
      </c>
      <c r="I6" s="156">
        <v>2</v>
      </c>
      <c r="J6" s="156">
        <v>3</v>
      </c>
      <c r="K6" s="37"/>
      <c r="L6" s="54">
        <f t="shared" ref="L6:L11" si="0">PRODUCT(C6:J6)</f>
        <v>144</v>
      </c>
      <c r="M6" s="53">
        <f t="shared" ref="M6:M13" si="1">IF($J$6&lt;&gt;"",8,(IF($I$6&lt;&gt;"",7,(IF($H$6&lt;&gt;"",6,5)))))</f>
        <v>8</v>
      </c>
      <c r="N6" s="54">
        <f t="shared" ref="N6:N11" si="2">L6^(1/M6)</f>
        <v>1.8612097182041991</v>
      </c>
      <c r="O6" s="54">
        <f t="shared" ref="O6:O13" si="3">N6/$N$14</f>
        <v>0.21856254798816807</v>
      </c>
      <c r="P6" s="189">
        <f t="shared" ref="P6:P13" si="4">ROUND(O6,3)</f>
        <v>0.219</v>
      </c>
      <c r="Q6" s="186">
        <f t="shared" ref="Q6:Q11" si="5">ROUND(O6/MAX($O$6:$O$13)*9,0)</f>
        <v>9</v>
      </c>
    </row>
    <row r="7" spans="1:17" ht="21" customHeight="1">
      <c r="A7" s="157">
        <v>2</v>
      </c>
      <c r="B7" s="154" t="str">
        <f>'3a-Attribute Rating(A)'!B7</f>
        <v>유지관리성</v>
      </c>
      <c r="C7" s="158">
        <f>1/D6</f>
        <v>1</v>
      </c>
      <c r="D7" s="159">
        <v>1</v>
      </c>
      <c r="E7" s="180">
        <v>2</v>
      </c>
      <c r="F7" s="180">
        <v>1</v>
      </c>
      <c r="G7" s="180">
        <v>2</v>
      </c>
      <c r="H7" s="180">
        <v>2</v>
      </c>
      <c r="I7" s="180">
        <v>1</v>
      </c>
      <c r="J7" s="180">
        <v>2</v>
      </c>
      <c r="K7" s="37"/>
      <c r="L7" s="54">
        <f t="shared" si="0"/>
        <v>16</v>
      </c>
      <c r="M7" s="53">
        <f t="shared" si="1"/>
        <v>8</v>
      </c>
      <c r="N7" s="54">
        <f t="shared" si="2"/>
        <v>1.4142135623730949</v>
      </c>
      <c r="O7" s="54">
        <f t="shared" si="3"/>
        <v>0.16607162350834878</v>
      </c>
      <c r="P7" s="189">
        <f t="shared" si="4"/>
        <v>0.16600000000000001</v>
      </c>
      <c r="Q7" s="186">
        <f t="shared" si="5"/>
        <v>7</v>
      </c>
    </row>
    <row r="8" spans="1:17" ht="21" customHeight="1">
      <c r="A8" s="157">
        <v>3</v>
      </c>
      <c r="B8" s="154" t="str">
        <f>'3a-Attribute Rating(A)'!B8</f>
        <v>내구성</v>
      </c>
      <c r="C8" s="158">
        <f>1/E6</f>
        <v>0.5</v>
      </c>
      <c r="D8" s="160">
        <f>1/E7</f>
        <v>0.5</v>
      </c>
      <c r="E8" s="159">
        <v>1</v>
      </c>
      <c r="F8" s="180">
        <v>1</v>
      </c>
      <c r="G8" s="180">
        <v>1</v>
      </c>
      <c r="H8" s="180">
        <v>2</v>
      </c>
      <c r="I8" s="180">
        <v>1</v>
      </c>
      <c r="J8" s="180">
        <v>2</v>
      </c>
      <c r="K8" s="37"/>
      <c r="L8" s="54">
        <f t="shared" si="0"/>
        <v>1</v>
      </c>
      <c r="M8" s="53">
        <f t="shared" si="1"/>
        <v>8</v>
      </c>
      <c r="N8" s="54">
        <f t="shared" si="2"/>
        <v>1</v>
      </c>
      <c r="O8" s="54">
        <f t="shared" si="3"/>
        <v>0.11743037114541269</v>
      </c>
      <c r="P8" s="189">
        <f t="shared" si="4"/>
        <v>0.11700000000000001</v>
      </c>
      <c r="Q8" s="186">
        <f t="shared" si="5"/>
        <v>5</v>
      </c>
    </row>
    <row r="9" spans="1:17" ht="21" customHeight="1">
      <c r="A9" s="157">
        <v>4</v>
      </c>
      <c r="B9" s="154" t="str">
        <f>'3a-Attribute Rating(A)'!B9</f>
        <v>이용편의성</v>
      </c>
      <c r="C9" s="158">
        <f>1/F6</f>
        <v>0.5</v>
      </c>
      <c r="D9" s="160">
        <f>1/F7</f>
        <v>1</v>
      </c>
      <c r="E9" s="160">
        <f>1/F8</f>
        <v>1</v>
      </c>
      <c r="F9" s="159">
        <v>1</v>
      </c>
      <c r="G9" s="180">
        <v>1</v>
      </c>
      <c r="H9" s="180">
        <v>1</v>
      </c>
      <c r="I9" s="180">
        <v>1</v>
      </c>
      <c r="J9" s="180">
        <v>1</v>
      </c>
      <c r="K9" s="37"/>
      <c r="L9" s="54">
        <f t="shared" si="0"/>
        <v>0.5</v>
      </c>
      <c r="M9" s="53">
        <f t="shared" si="1"/>
        <v>8</v>
      </c>
      <c r="N9" s="54">
        <f t="shared" si="2"/>
        <v>0.91700404320467122</v>
      </c>
      <c r="O9" s="54">
        <f t="shared" si="3"/>
        <v>0.1076841251353686</v>
      </c>
      <c r="P9" s="189">
        <f t="shared" si="4"/>
        <v>0.108</v>
      </c>
      <c r="Q9" s="186">
        <f t="shared" si="5"/>
        <v>4</v>
      </c>
    </row>
    <row r="10" spans="1:17" ht="21" customHeight="1">
      <c r="A10" s="157">
        <v>5</v>
      </c>
      <c r="B10" s="154" t="str">
        <f>'3a-Attribute Rating(A)'!B10</f>
        <v>친환경성</v>
      </c>
      <c r="C10" s="158">
        <f>1/G6</f>
        <v>0.5</v>
      </c>
      <c r="D10" s="160">
        <f>1/G7</f>
        <v>0.5</v>
      </c>
      <c r="E10" s="160">
        <f>1/G8</f>
        <v>1</v>
      </c>
      <c r="F10" s="160">
        <f>1/G9</f>
        <v>1</v>
      </c>
      <c r="G10" s="159">
        <v>1</v>
      </c>
      <c r="H10" s="180">
        <v>2</v>
      </c>
      <c r="I10" s="180">
        <v>1</v>
      </c>
      <c r="J10" s="180">
        <v>2</v>
      </c>
      <c r="K10" s="37"/>
      <c r="L10" s="54">
        <f t="shared" si="0"/>
        <v>1</v>
      </c>
      <c r="M10" s="53">
        <f t="shared" si="1"/>
        <v>8</v>
      </c>
      <c r="N10" s="54">
        <f t="shared" si="2"/>
        <v>1</v>
      </c>
      <c r="O10" s="54">
        <f t="shared" si="3"/>
        <v>0.11743037114541269</v>
      </c>
      <c r="P10" s="189">
        <f t="shared" si="4"/>
        <v>0.11700000000000001</v>
      </c>
      <c r="Q10" s="186">
        <f t="shared" si="5"/>
        <v>5</v>
      </c>
    </row>
    <row r="11" spans="1:17" ht="21" customHeight="1">
      <c r="A11" s="157">
        <v>6</v>
      </c>
      <c r="B11" s="154" t="str">
        <f>'3a-Attribute Rating(A)'!B11</f>
        <v>배수성</v>
      </c>
      <c r="C11" s="158">
        <f>1/H6</f>
        <v>0.33333333333333331</v>
      </c>
      <c r="D11" s="160">
        <f>1/H7</f>
        <v>0.5</v>
      </c>
      <c r="E11" s="160">
        <f>1/H8</f>
        <v>0.5</v>
      </c>
      <c r="F11" s="160">
        <f>1/H9</f>
        <v>1</v>
      </c>
      <c r="G11" s="160">
        <f>1/H10</f>
        <v>0.5</v>
      </c>
      <c r="H11" s="159">
        <v>1</v>
      </c>
      <c r="I11" s="180">
        <f>1/2</f>
        <v>0.5</v>
      </c>
      <c r="J11" s="180">
        <v>1</v>
      </c>
      <c r="K11" s="37"/>
      <c r="L11" s="54">
        <f t="shared" si="0"/>
        <v>2.0833333333333332E-2</v>
      </c>
      <c r="M11" s="53">
        <f t="shared" si="1"/>
        <v>8</v>
      </c>
      <c r="N11" s="54">
        <f t="shared" si="2"/>
        <v>0.61637475842688128</v>
      </c>
      <c r="O11" s="54">
        <f t="shared" si="3"/>
        <v>7.238111664673276E-2</v>
      </c>
      <c r="P11" s="189">
        <f t="shared" si="4"/>
        <v>7.1999999999999995E-2</v>
      </c>
      <c r="Q11" s="186">
        <f t="shared" si="5"/>
        <v>3</v>
      </c>
    </row>
    <row r="12" spans="1:17" ht="21" customHeight="1">
      <c r="A12" s="157">
        <v>7</v>
      </c>
      <c r="B12" s="154" t="str">
        <f>'3a-Attribute Rating(A)'!B12</f>
        <v>교통안전성</v>
      </c>
      <c r="C12" s="158">
        <f>1/I6</f>
        <v>0.5</v>
      </c>
      <c r="D12" s="158">
        <f>1/I7</f>
        <v>1</v>
      </c>
      <c r="E12" s="158">
        <f>1/I8</f>
        <v>1</v>
      </c>
      <c r="F12" s="158">
        <f>1/I9</f>
        <v>1</v>
      </c>
      <c r="G12" s="158">
        <f>1/I10</f>
        <v>1</v>
      </c>
      <c r="H12" s="158">
        <f>1/I11</f>
        <v>2</v>
      </c>
      <c r="I12" s="159">
        <v>1</v>
      </c>
      <c r="J12" s="180">
        <v>2</v>
      </c>
      <c r="K12" s="37"/>
      <c r="L12" s="54">
        <f>PRODUCT(C12:J12)</f>
        <v>2</v>
      </c>
      <c r="M12" s="53">
        <f t="shared" si="1"/>
        <v>8</v>
      </c>
      <c r="N12" s="54">
        <f>L12^(1/M12)</f>
        <v>1.0905077326652577</v>
      </c>
      <c r="O12" s="54">
        <f t="shared" si="3"/>
        <v>0.12805872778382368</v>
      </c>
      <c r="P12" s="189">
        <f t="shared" si="4"/>
        <v>0.128</v>
      </c>
      <c r="Q12" s="186">
        <f>ROUND(O12/MAX($O$6:$O$13)*9,0)</f>
        <v>5</v>
      </c>
    </row>
    <row r="13" spans="1:17" ht="21" customHeight="1">
      <c r="A13" s="157">
        <v>8</v>
      </c>
      <c r="B13" s="154" t="str">
        <f>'3a-Attribute Rating(A)'!B13</f>
        <v>민원성</v>
      </c>
      <c r="C13" s="158">
        <f>1/J6</f>
        <v>0.33333333333333331</v>
      </c>
      <c r="D13" s="158">
        <f>1/J7</f>
        <v>0.5</v>
      </c>
      <c r="E13" s="158">
        <f>1/J8</f>
        <v>0.5</v>
      </c>
      <c r="F13" s="158">
        <f>1/J9</f>
        <v>1</v>
      </c>
      <c r="G13" s="158">
        <f>1/J10</f>
        <v>0.5</v>
      </c>
      <c r="H13" s="158">
        <f>1/J11</f>
        <v>1</v>
      </c>
      <c r="I13" s="158">
        <f>1/J12</f>
        <v>0.5</v>
      </c>
      <c r="J13" s="159">
        <v>1</v>
      </c>
      <c r="K13" s="37"/>
      <c r="L13" s="54">
        <f>PRODUCT(C13:J13)</f>
        <v>2.0833333333333332E-2</v>
      </c>
      <c r="M13" s="53">
        <f t="shared" si="1"/>
        <v>8</v>
      </c>
      <c r="N13" s="54">
        <f>L13^(1/M13)</f>
        <v>0.61637475842688128</v>
      </c>
      <c r="O13" s="54">
        <f t="shared" si="3"/>
        <v>7.238111664673276E-2</v>
      </c>
      <c r="P13" s="189">
        <f t="shared" si="4"/>
        <v>7.1999999999999995E-2</v>
      </c>
      <c r="Q13" s="186">
        <f>ROUND(O13/MAX($O$6:$O$13)*9,0)</f>
        <v>3</v>
      </c>
    </row>
    <row r="14" spans="1:17" ht="21" customHeight="1">
      <c r="A14" s="191" t="s">
        <v>173</v>
      </c>
      <c r="B14" s="163"/>
      <c r="C14" s="158">
        <f t="shared" ref="C14:J14" si="6">SUM(C6:C13)</f>
        <v>4.666666666666667</v>
      </c>
      <c r="D14" s="160">
        <f t="shared" si="6"/>
        <v>6</v>
      </c>
      <c r="E14" s="160">
        <f t="shared" si="6"/>
        <v>9</v>
      </c>
      <c r="F14" s="160">
        <f t="shared" si="6"/>
        <v>9</v>
      </c>
      <c r="G14" s="160">
        <f t="shared" si="6"/>
        <v>9</v>
      </c>
      <c r="H14" s="160">
        <f t="shared" si="6"/>
        <v>14</v>
      </c>
      <c r="I14" s="160">
        <f t="shared" si="6"/>
        <v>8</v>
      </c>
      <c r="J14" s="160">
        <f t="shared" si="6"/>
        <v>14</v>
      </c>
      <c r="K14" s="37"/>
      <c r="L14" s="77" t="s">
        <v>159</v>
      </c>
      <c r="M14" s="77"/>
      <c r="N14" s="54">
        <f>SUM(N6:N13)</f>
        <v>8.5156845733009856</v>
      </c>
      <c r="O14" s="164">
        <f>SUM(O6:O13)</f>
        <v>1</v>
      </c>
      <c r="P14" s="189">
        <f>SUM(P6:P13)</f>
        <v>0.99899999999999989</v>
      </c>
      <c r="Q14" s="195"/>
    </row>
    <row r="15" spans="1:17" ht="7.5" customHeight="1">
      <c r="A15" s="16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100"/>
    </row>
    <row r="16" spans="1:17" ht="23.25" customHeight="1">
      <c r="A16" s="99" t="s">
        <v>180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100"/>
    </row>
    <row r="17" spans="1:17" ht="21" customHeight="1">
      <c r="A17" s="165" t="s">
        <v>181</v>
      </c>
      <c r="B17" s="166"/>
      <c r="C17" s="188">
        <f>MMULT(C14:J14,O6:O13)</f>
        <v>8.1504331935430621</v>
      </c>
      <c r="D17" s="37" t="s">
        <v>174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100"/>
    </row>
    <row r="18" spans="1:17" ht="21" customHeight="1">
      <c r="A18" s="165" t="s">
        <v>182</v>
      </c>
      <c r="B18" s="37"/>
      <c r="C18" s="188">
        <f>(C17-M6)/(M6-1)</f>
        <v>2.1490456220437437E-2</v>
      </c>
      <c r="D18" s="37" t="s">
        <v>175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100"/>
    </row>
    <row r="19" spans="1:17" ht="21" customHeight="1">
      <c r="A19" s="165" t="s">
        <v>183</v>
      </c>
      <c r="B19" s="37"/>
      <c r="C19" s="188">
        <f>C18/(HLOOKUP(M6,C20:J21,2,TRUE))</f>
        <v>1.5241458312366977E-2</v>
      </c>
      <c r="D19" s="37" t="s">
        <v>176</v>
      </c>
      <c r="E19" s="37"/>
      <c r="F19" s="37" t="str">
        <f>IF(C19&lt;=0.1,"∴O.K","∴N.G")</f>
        <v>∴O.K</v>
      </c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100"/>
    </row>
    <row r="20" spans="1:17" ht="21" customHeight="1">
      <c r="A20" s="167"/>
      <c r="B20" s="152" t="s">
        <v>151</v>
      </c>
      <c r="C20" s="53">
        <v>3</v>
      </c>
      <c r="D20" s="53">
        <v>4</v>
      </c>
      <c r="E20" s="53">
        <v>5</v>
      </c>
      <c r="F20" s="53">
        <v>6</v>
      </c>
      <c r="G20" s="53">
        <v>7</v>
      </c>
      <c r="H20" s="53">
        <v>8</v>
      </c>
      <c r="I20" s="53">
        <v>9</v>
      </c>
      <c r="J20" s="53">
        <v>10</v>
      </c>
      <c r="K20" s="37"/>
      <c r="L20" s="37"/>
      <c r="M20" s="37"/>
      <c r="N20" s="37"/>
      <c r="O20" s="37"/>
      <c r="P20" s="37"/>
      <c r="Q20" s="100"/>
    </row>
    <row r="21" spans="1:17" ht="21" customHeight="1">
      <c r="A21" s="167"/>
      <c r="B21" s="152" t="s">
        <v>152</v>
      </c>
      <c r="C21" s="53">
        <v>0.57999999999999996</v>
      </c>
      <c r="D21" s="53">
        <v>0.9</v>
      </c>
      <c r="E21" s="53">
        <v>1.1200000000000001</v>
      </c>
      <c r="F21" s="53">
        <v>1.24</v>
      </c>
      <c r="G21" s="53">
        <v>1.32</v>
      </c>
      <c r="H21" s="53">
        <v>1.41</v>
      </c>
      <c r="I21" s="53">
        <v>1.45</v>
      </c>
      <c r="J21" s="53">
        <v>1.51</v>
      </c>
      <c r="K21" s="37"/>
      <c r="L21" s="37"/>
      <c r="M21" s="37"/>
      <c r="N21" s="37"/>
      <c r="O21" s="37"/>
      <c r="P21" s="37"/>
      <c r="Q21" s="100"/>
    </row>
    <row r="22" spans="1:17" ht="51" customHeight="1" thickBot="1">
      <c r="A22" s="103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5"/>
    </row>
    <row r="23" spans="1:17" ht="18.95" customHeight="1"/>
    <row r="24" spans="1:17" ht="18.95" customHeight="1"/>
    <row r="25" spans="1:17" ht="17.100000000000001" customHeight="1"/>
    <row r="26" spans="1:17" ht="17.100000000000001" customHeight="1"/>
    <row r="27" spans="1:17" ht="17.100000000000001" customHeight="1"/>
    <row r="28" spans="1:17" ht="17.100000000000001" customHeight="1"/>
    <row r="29" spans="1:17" ht="17.100000000000001" customHeight="1"/>
    <row r="30" spans="1:17" ht="17.100000000000001" customHeight="1"/>
    <row r="31" spans="1:17" ht="17.100000000000001" customHeight="1"/>
    <row r="32" spans="1:17" ht="17.100000000000001" customHeight="1"/>
    <row r="33" ht="17.100000000000001" customHeight="1"/>
    <row r="34" ht="17.100000000000001" customHeight="1"/>
    <row r="35" ht="17.100000000000001" customHeight="1"/>
    <row r="36" ht="17.100000000000001" customHeight="1"/>
  </sheetData>
  <mergeCells count="3">
    <mergeCell ref="A1:Q1"/>
    <mergeCell ref="A2:B2"/>
    <mergeCell ref="C2:Q2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36"/>
  <sheetViews>
    <sheetView view="pageBreakPreview" zoomScale="115" zoomScaleNormal="115" zoomScaleSheetLayoutView="115" workbookViewId="0">
      <selection activeCell="E3" sqref="E3"/>
    </sheetView>
  </sheetViews>
  <sheetFormatPr defaultRowHeight="12"/>
  <cols>
    <col min="1" max="1" width="4" style="1" customWidth="1"/>
    <col min="2" max="2" width="13.5546875" style="1" customWidth="1"/>
    <col min="3" max="10" width="5.77734375" style="1" customWidth="1"/>
    <col min="11" max="11" width="1.109375" style="1" customWidth="1"/>
    <col min="12" max="12" width="6.21875" style="1" customWidth="1"/>
    <col min="13" max="13" width="4.33203125" style="1" customWidth="1"/>
    <col min="14" max="14" width="9.44140625" style="1" customWidth="1"/>
    <col min="15" max="15" width="10.109375" style="1" customWidth="1"/>
    <col min="16" max="16" width="7.6640625" style="1" customWidth="1"/>
    <col min="17" max="17" width="5.21875" style="1" customWidth="1"/>
    <col min="18" max="16384" width="8.88671875" style="1"/>
  </cols>
  <sheetData>
    <row r="1" spans="1:17" ht="30" customHeight="1">
      <c r="A1" s="749" t="s">
        <v>190</v>
      </c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84"/>
      <c r="N1" s="784"/>
      <c r="O1" s="784"/>
      <c r="P1" s="784"/>
      <c r="Q1" s="750"/>
    </row>
    <row r="2" spans="1:17" ht="20.100000000000001" customHeight="1">
      <c r="A2" s="785" t="str">
        <f>'1a-Performance'!A2</f>
        <v xml:space="preserve">VE Title : </v>
      </c>
      <c r="B2" s="786"/>
      <c r="C2" s="787" t="str">
        <f>'1a-Performance'!B2</f>
        <v>포장두께</v>
      </c>
      <c r="D2" s="787"/>
      <c r="E2" s="787"/>
      <c r="F2" s="787"/>
      <c r="G2" s="787"/>
      <c r="H2" s="787"/>
      <c r="I2" s="787"/>
      <c r="J2" s="787"/>
      <c r="K2" s="787"/>
      <c r="L2" s="787"/>
      <c r="M2" s="787"/>
      <c r="N2" s="787"/>
      <c r="O2" s="787"/>
      <c r="P2" s="787"/>
      <c r="Q2" s="812"/>
    </row>
    <row r="3" spans="1:17" ht="23.25" customHeight="1">
      <c r="A3" s="99" t="s">
        <v>179</v>
      </c>
      <c r="B3" s="37"/>
      <c r="C3" s="37"/>
      <c r="D3" s="37"/>
      <c r="E3" s="37"/>
      <c r="F3" s="37"/>
      <c r="G3" s="37" t="s">
        <v>189</v>
      </c>
      <c r="H3" s="37"/>
      <c r="I3" s="37"/>
      <c r="J3" s="37"/>
      <c r="K3" s="37"/>
      <c r="L3" s="37"/>
      <c r="M3" s="37"/>
      <c r="N3" s="37"/>
      <c r="O3" s="37"/>
      <c r="P3" s="37"/>
      <c r="Q3" s="100"/>
    </row>
    <row r="4" spans="1:17" ht="8.25" customHeight="1">
      <c r="A4" s="16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100"/>
    </row>
    <row r="5" spans="1:17" ht="21" customHeight="1" thickBot="1">
      <c r="A5" s="193" t="s">
        <v>153</v>
      </c>
      <c r="B5" s="190"/>
      <c r="C5" s="150">
        <v>1</v>
      </c>
      <c r="D5" s="151">
        <v>2</v>
      </c>
      <c r="E5" s="151">
        <v>3</v>
      </c>
      <c r="F5" s="151">
        <v>4</v>
      </c>
      <c r="G5" s="151">
        <v>5</v>
      </c>
      <c r="H5" s="151">
        <v>6</v>
      </c>
      <c r="I5" s="151">
        <v>7</v>
      </c>
      <c r="J5" s="151">
        <v>8</v>
      </c>
      <c r="K5" s="37"/>
      <c r="L5" s="152" t="s">
        <v>170</v>
      </c>
      <c r="M5" s="152" t="s">
        <v>151</v>
      </c>
      <c r="N5" s="152" t="s">
        <v>157</v>
      </c>
      <c r="O5" s="152" t="s">
        <v>158</v>
      </c>
      <c r="P5" s="192" t="s">
        <v>172</v>
      </c>
      <c r="Q5" s="194" t="s">
        <v>184</v>
      </c>
    </row>
    <row r="6" spans="1:17" ht="21" customHeight="1" thickTop="1">
      <c r="A6" s="153">
        <v>1</v>
      </c>
      <c r="B6" s="154" t="str">
        <f>'3a-Attribute Rating(A)'!B6</f>
        <v>시공성</v>
      </c>
      <c r="C6" s="155">
        <v>1</v>
      </c>
      <c r="D6" s="156">
        <v>1</v>
      </c>
      <c r="E6" s="156">
        <v>2</v>
      </c>
      <c r="F6" s="156">
        <v>2</v>
      </c>
      <c r="G6" s="156">
        <v>2</v>
      </c>
      <c r="H6" s="156">
        <v>3</v>
      </c>
      <c r="I6" s="156">
        <v>2</v>
      </c>
      <c r="J6" s="156">
        <v>3</v>
      </c>
      <c r="K6" s="37"/>
      <c r="L6" s="54">
        <f t="shared" ref="L6:L11" si="0">PRODUCT(C6:J6)</f>
        <v>144</v>
      </c>
      <c r="M6" s="53">
        <f t="shared" ref="M6:M13" si="1">IF($J$6&lt;&gt;"",8,(IF($I$6&lt;&gt;"",7,(IF($H$6&lt;&gt;"",6,5)))))</f>
        <v>8</v>
      </c>
      <c r="N6" s="54">
        <f t="shared" ref="N6:N11" si="2">L6^(1/M6)</f>
        <v>1.8612097182041991</v>
      </c>
      <c r="O6" s="54">
        <f t="shared" ref="O6:O13" si="3">N6/$N$14</f>
        <v>0.21856254798816807</v>
      </c>
      <c r="P6" s="189">
        <f t="shared" ref="P6:P13" si="4">ROUND(O6,3)</f>
        <v>0.219</v>
      </c>
      <c r="Q6" s="186">
        <f t="shared" ref="Q6:Q11" si="5">ROUND(O6/MAX($O$6:$O$13)*9,0)</f>
        <v>9</v>
      </c>
    </row>
    <row r="7" spans="1:17" ht="21" customHeight="1">
      <c r="A7" s="157">
        <v>2</v>
      </c>
      <c r="B7" s="154" t="str">
        <f>'3a-Attribute Rating(A)'!B7</f>
        <v>유지관리성</v>
      </c>
      <c r="C7" s="158">
        <f>1/D6</f>
        <v>1</v>
      </c>
      <c r="D7" s="159">
        <v>1</v>
      </c>
      <c r="E7" s="180">
        <v>2</v>
      </c>
      <c r="F7" s="180">
        <v>1</v>
      </c>
      <c r="G7" s="180">
        <v>2</v>
      </c>
      <c r="H7" s="180">
        <v>2</v>
      </c>
      <c r="I7" s="180">
        <v>1</v>
      </c>
      <c r="J7" s="180">
        <v>2</v>
      </c>
      <c r="K7" s="37"/>
      <c r="L7" s="54">
        <f t="shared" si="0"/>
        <v>16</v>
      </c>
      <c r="M7" s="53">
        <f t="shared" si="1"/>
        <v>8</v>
      </c>
      <c r="N7" s="54">
        <f t="shared" si="2"/>
        <v>1.4142135623730949</v>
      </c>
      <c r="O7" s="54">
        <f t="shared" si="3"/>
        <v>0.16607162350834878</v>
      </c>
      <c r="P7" s="189">
        <f t="shared" si="4"/>
        <v>0.16600000000000001</v>
      </c>
      <c r="Q7" s="186">
        <f t="shared" si="5"/>
        <v>7</v>
      </c>
    </row>
    <row r="8" spans="1:17" ht="21" customHeight="1">
      <c r="A8" s="157">
        <v>3</v>
      </c>
      <c r="B8" s="154" t="str">
        <f>'3a-Attribute Rating(A)'!B8</f>
        <v>내구성</v>
      </c>
      <c r="C8" s="158">
        <f>1/E6</f>
        <v>0.5</v>
      </c>
      <c r="D8" s="160">
        <f>1/E7</f>
        <v>0.5</v>
      </c>
      <c r="E8" s="159">
        <v>1</v>
      </c>
      <c r="F8" s="180">
        <v>1</v>
      </c>
      <c r="G8" s="180">
        <v>1</v>
      </c>
      <c r="H8" s="180">
        <v>2</v>
      </c>
      <c r="I8" s="180">
        <v>1</v>
      </c>
      <c r="J8" s="180">
        <v>2</v>
      </c>
      <c r="K8" s="37"/>
      <c r="L8" s="54">
        <f t="shared" si="0"/>
        <v>1</v>
      </c>
      <c r="M8" s="53">
        <f t="shared" si="1"/>
        <v>8</v>
      </c>
      <c r="N8" s="54">
        <f t="shared" si="2"/>
        <v>1</v>
      </c>
      <c r="O8" s="54">
        <f t="shared" si="3"/>
        <v>0.11743037114541269</v>
      </c>
      <c r="P8" s="189">
        <f t="shared" si="4"/>
        <v>0.11700000000000001</v>
      </c>
      <c r="Q8" s="186">
        <f t="shared" si="5"/>
        <v>5</v>
      </c>
    </row>
    <row r="9" spans="1:17" ht="21" customHeight="1">
      <c r="A9" s="157">
        <v>4</v>
      </c>
      <c r="B9" s="154" t="str">
        <f>'3a-Attribute Rating(A)'!B9</f>
        <v>이용편의성</v>
      </c>
      <c r="C9" s="158">
        <f>1/F6</f>
        <v>0.5</v>
      </c>
      <c r="D9" s="160">
        <f>1/F7</f>
        <v>1</v>
      </c>
      <c r="E9" s="160">
        <f>1/F8</f>
        <v>1</v>
      </c>
      <c r="F9" s="159">
        <v>1</v>
      </c>
      <c r="G9" s="180">
        <v>1</v>
      </c>
      <c r="H9" s="180">
        <v>1</v>
      </c>
      <c r="I9" s="180">
        <v>1</v>
      </c>
      <c r="J9" s="180">
        <v>1</v>
      </c>
      <c r="K9" s="37"/>
      <c r="L9" s="54">
        <f t="shared" si="0"/>
        <v>0.5</v>
      </c>
      <c r="M9" s="53">
        <f t="shared" si="1"/>
        <v>8</v>
      </c>
      <c r="N9" s="54">
        <f t="shared" si="2"/>
        <v>0.91700404320467122</v>
      </c>
      <c r="O9" s="54">
        <f t="shared" si="3"/>
        <v>0.1076841251353686</v>
      </c>
      <c r="P9" s="189">
        <f t="shared" si="4"/>
        <v>0.108</v>
      </c>
      <c r="Q9" s="186">
        <f t="shared" si="5"/>
        <v>4</v>
      </c>
    </row>
    <row r="10" spans="1:17" ht="21" customHeight="1">
      <c r="A10" s="157">
        <v>5</v>
      </c>
      <c r="B10" s="154" t="str">
        <f>'3a-Attribute Rating(A)'!B10</f>
        <v>친환경성</v>
      </c>
      <c r="C10" s="158">
        <f>1/G6</f>
        <v>0.5</v>
      </c>
      <c r="D10" s="160">
        <f>1/G7</f>
        <v>0.5</v>
      </c>
      <c r="E10" s="160">
        <f>1/G8</f>
        <v>1</v>
      </c>
      <c r="F10" s="160">
        <f>1/G9</f>
        <v>1</v>
      </c>
      <c r="G10" s="159">
        <v>1</v>
      </c>
      <c r="H10" s="180">
        <v>2</v>
      </c>
      <c r="I10" s="180">
        <v>1</v>
      </c>
      <c r="J10" s="180">
        <v>2</v>
      </c>
      <c r="K10" s="37"/>
      <c r="L10" s="54">
        <f t="shared" si="0"/>
        <v>1</v>
      </c>
      <c r="M10" s="53">
        <f t="shared" si="1"/>
        <v>8</v>
      </c>
      <c r="N10" s="54">
        <f t="shared" si="2"/>
        <v>1</v>
      </c>
      <c r="O10" s="54">
        <f t="shared" si="3"/>
        <v>0.11743037114541269</v>
      </c>
      <c r="P10" s="189">
        <f t="shared" si="4"/>
        <v>0.11700000000000001</v>
      </c>
      <c r="Q10" s="186">
        <f t="shared" si="5"/>
        <v>5</v>
      </c>
    </row>
    <row r="11" spans="1:17" ht="21" customHeight="1">
      <c r="A11" s="157">
        <v>6</v>
      </c>
      <c r="B11" s="154" t="str">
        <f>'3a-Attribute Rating(A)'!B11</f>
        <v>배수성</v>
      </c>
      <c r="C11" s="158">
        <f>1/H6</f>
        <v>0.33333333333333331</v>
      </c>
      <c r="D11" s="160">
        <f>1/H7</f>
        <v>0.5</v>
      </c>
      <c r="E11" s="160">
        <f>1/H8</f>
        <v>0.5</v>
      </c>
      <c r="F11" s="160">
        <f>1/H9</f>
        <v>1</v>
      </c>
      <c r="G11" s="160">
        <f>1/H10</f>
        <v>0.5</v>
      </c>
      <c r="H11" s="159">
        <v>1</v>
      </c>
      <c r="I11" s="180">
        <f>1/2</f>
        <v>0.5</v>
      </c>
      <c r="J11" s="180">
        <v>1</v>
      </c>
      <c r="K11" s="37"/>
      <c r="L11" s="54">
        <f t="shared" si="0"/>
        <v>2.0833333333333332E-2</v>
      </c>
      <c r="M11" s="53">
        <f t="shared" si="1"/>
        <v>8</v>
      </c>
      <c r="N11" s="54">
        <f t="shared" si="2"/>
        <v>0.61637475842688128</v>
      </c>
      <c r="O11" s="54">
        <f t="shared" si="3"/>
        <v>7.238111664673276E-2</v>
      </c>
      <c r="P11" s="189">
        <f t="shared" si="4"/>
        <v>7.1999999999999995E-2</v>
      </c>
      <c r="Q11" s="186">
        <f t="shared" si="5"/>
        <v>3</v>
      </c>
    </row>
    <row r="12" spans="1:17" ht="21" customHeight="1">
      <c r="A12" s="157">
        <v>7</v>
      </c>
      <c r="B12" s="154" t="str">
        <f>'3a-Attribute Rating(A)'!B12</f>
        <v>교통안전성</v>
      </c>
      <c r="C12" s="158">
        <f>1/I6</f>
        <v>0.5</v>
      </c>
      <c r="D12" s="158">
        <f>1/I7</f>
        <v>1</v>
      </c>
      <c r="E12" s="158">
        <f>1/I8</f>
        <v>1</v>
      </c>
      <c r="F12" s="158">
        <f>1/I9</f>
        <v>1</v>
      </c>
      <c r="G12" s="158">
        <f>1/I10</f>
        <v>1</v>
      </c>
      <c r="H12" s="158">
        <f>1/I11</f>
        <v>2</v>
      </c>
      <c r="I12" s="159">
        <v>1</v>
      </c>
      <c r="J12" s="180">
        <v>2</v>
      </c>
      <c r="K12" s="37"/>
      <c r="L12" s="54">
        <f>PRODUCT(C12:J12)</f>
        <v>2</v>
      </c>
      <c r="M12" s="53">
        <f t="shared" si="1"/>
        <v>8</v>
      </c>
      <c r="N12" s="54">
        <f>L12^(1/M12)</f>
        <v>1.0905077326652577</v>
      </c>
      <c r="O12" s="54">
        <f t="shared" si="3"/>
        <v>0.12805872778382368</v>
      </c>
      <c r="P12" s="189">
        <f t="shared" si="4"/>
        <v>0.128</v>
      </c>
      <c r="Q12" s="186">
        <f>ROUND(O12/MAX($O$6:$O$13)*9,0)</f>
        <v>5</v>
      </c>
    </row>
    <row r="13" spans="1:17" ht="21" customHeight="1">
      <c r="A13" s="157">
        <v>8</v>
      </c>
      <c r="B13" s="154" t="str">
        <f>'3a-Attribute Rating(A)'!B13</f>
        <v>민원성</v>
      </c>
      <c r="C13" s="158">
        <f>1/J6</f>
        <v>0.33333333333333331</v>
      </c>
      <c r="D13" s="158">
        <f>1/J7</f>
        <v>0.5</v>
      </c>
      <c r="E13" s="158">
        <f>1/J8</f>
        <v>0.5</v>
      </c>
      <c r="F13" s="158">
        <f>1/J9</f>
        <v>1</v>
      </c>
      <c r="G13" s="158">
        <f>1/J10</f>
        <v>0.5</v>
      </c>
      <c r="H13" s="158">
        <f>1/J11</f>
        <v>1</v>
      </c>
      <c r="I13" s="158">
        <f>1/J12</f>
        <v>0.5</v>
      </c>
      <c r="J13" s="159">
        <v>1</v>
      </c>
      <c r="K13" s="37"/>
      <c r="L13" s="54">
        <f>PRODUCT(C13:J13)</f>
        <v>2.0833333333333332E-2</v>
      </c>
      <c r="M13" s="53">
        <f t="shared" si="1"/>
        <v>8</v>
      </c>
      <c r="N13" s="54">
        <f>L13^(1/M13)</f>
        <v>0.61637475842688128</v>
      </c>
      <c r="O13" s="54">
        <f t="shared" si="3"/>
        <v>7.238111664673276E-2</v>
      </c>
      <c r="P13" s="189">
        <f t="shared" si="4"/>
        <v>7.1999999999999995E-2</v>
      </c>
      <c r="Q13" s="186">
        <f>ROUND(O13/MAX($O$6:$O$13)*9,0)</f>
        <v>3</v>
      </c>
    </row>
    <row r="14" spans="1:17" ht="21" customHeight="1">
      <c r="A14" s="191" t="s">
        <v>173</v>
      </c>
      <c r="B14" s="163"/>
      <c r="C14" s="158">
        <f t="shared" ref="C14:J14" si="6">SUM(C6:C13)</f>
        <v>4.666666666666667</v>
      </c>
      <c r="D14" s="160">
        <f t="shared" si="6"/>
        <v>6</v>
      </c>
      <c r="E14" s="160">
        <f t="shared" si="6"/>
        <v>9</v>
      </c>
      <c r="F14" s="160">
        <f t="shared" si="6"/>
        <v>9</v>
      </c>
      <c r="G14" s="160">
        <f t="shared" si="6"/>
        <v>9</v>
      </c>
      <c r="H14" s="160">
        <f t="shared" si="6"/>
        <v>14</v>
      </c>
      <c r="I14" s="160">
        <f t="shared" si="6"/>
        <v>8</v>
      </c>
      <c r="J14" s="160">
        <f t="shared" si="6"/>
        <v>14</v>
      </c>
      <c r="K14" s="37"/>
      <c r="L14" s="77" t="s">
        <v>159</v>
      </c>
      <c r="M14" s="77"/>
      <c r="N14" s="54">
        <f>SUM(N6:N13)</f>
        <v>8.5156845733009856</v>
      </c>
      <c r="O14" s="164">
        <f>SUM(O6:O13)</f>
        <v>1</v>
      </c>
      <c r="P14" s="189">
        <f>SUM(P6:P13)</f>
        <v>0.99899999999999989</v>
      </c>
      <c r="Q14" s="195"/>
    </row>
    <row r="15" spans="1:17" ht="7.5" customHeight="1">
      <c r="A15" s="16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100"/>
    </row>
    <row r="16" spans="1:17" ht="23.25" customHeight="1">
      <c r="A16" s="99" t="s">
        <v>180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100"/>
    </row>
    <row r="17" spans="1:17" ht="21" customHeight="1">
      <c r="A17" s="165" t="s">
        <v>181</v>
      </c>
      <c r="B17" s="166"/>
      <c r="C17" s="188">
        <f>MMULT(C14:J14,O6:O13)</f>
        <v>8.1504331935430621</v>
      </c>
      <c r="D17" s="37" t="s">
        <v>174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100"/>
    </row>
    <row r="18" spans="1:17" ht="21" customHeight="1">
      <c r="A18" s="165" t="s">
        <v>182</v>
      </c>
      <c r="B18" s="37"/>
      <c r="C18" s="188">
        <f>(C17-M6)/(M6-1)</f>
        <v>2.1490456220437437E-2</v>
      </c>
      <c r="D18" s="37" t="s">
        <v>175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100"/>
    </row>
    <row r="19" spans="1:17" ht="21" customHeight="1">
      <c r="A19" s="165" t="s">
        <v>183</v>
      </c>
      <c r="B19" s="37"/>
      <c r="C19" s="188">
        <f>C18/(HLOOKUP(M6,C20:J21,2,TRUE))</f>
        <v>1.5241458312366977E-2</v>
      </c>
      <c r="D19" s="37" t="s">
        <v>176</v>
      </c>
      <c r="E19" s="37"/>
      <c r="F19" s="37" t="str">
        <f>IF(C19&lt;=0.1,"∴O.K","∴N.G")</f>
        <v>∴O.K</v>
      </c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100"/>
    </row>
    <row r="20" spans="1:17" ht="21" customHeight="1">
      <c r="A20" s="167"/>
      <c r="B20" s="152" t="s">
        <v>151</v>
      </c>
      <c r="C20" s="53">
        <v>3</v>
      </c>
      <c r="D20" s="53">
        <v>4</v>
      </c>
      <c r="E20" s="53">
        <v>5</v>
      </c>
      <c r="F20" s="53">
        <v>6</v>
      </c>
      <c r="G20" s="53">
        <v>7</v>
      </c>
      <c r="H20" s="53">
        <v>8</v>
      </c>
      <c r="I20" s="53">
        <v>9</v>
      </c>
      <c r="J20" s="53">
        <v>10</v>
      </c>
      <c r="K20" s="37"/>
      <c r="L20" s="37"/>
      <c r="M20" s="37"/>
      <c r="N20" s="37"/>
      <c r="O20" s="37"/>
      <c r="P20" s="37"/>
      <c r="Q20" s="100"/>
    </row>
    <row r="21" spans="1:17" ht="21" customHeight="1">
      <c r="A21" s="167"/>
      <c r="B21" s="152" t="s">
        <v>152</v>
      </c>
      <c r="C21" s="53">
        <v>0.57999999999999996</v>
      </c>
      <c r="D21" s="53">
        <v>0.9</v>
      </c>
      <c r="E21" s="53">
        <v>1.1200000000000001</v>
      </c>
      <c r="F21" s="53">
        <v>1.24</v>
      </c>
      <c r="G21" s="53">
        <v>1.32</v>
      </c>
      <c r="H21" s="53">
        <v>1.41</v>
      </c>
      <c r="I21" s="53">
        <v>1.45</v>
      </c>
      <c r="J21" s="53">
        <v>1.51</v>
      </c>
      <c r="K21" s="37"/>
      <c r="L21" s="37"/>
      <c r="M21" s="37"/>
      <c r="N21" s="37"/>
      <c r="O21" s="37"/>
      <c r="P21" s="37"/>
      <c r="Q21" s="100"/>
    </row>
    <row r="22" spans="1:17" ht="50.25" customHeight="1" thickBot="1">
      <c r="A22" s="103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5"/>
    </row>
    <row r="23" spans="1:17" ht="18.95" customHeight="1"/>
    <row r="24" spans="1:17" ht="18.95" customHeight="1"/>
    <row r="25" spans="1:17" ht="17.100000000000001" customHeight="1"/>
    <row r="26" spans="1:17" ht="17.100000000000001" customHeight="1"/>
    <row r="27" spans="1:17" ht="17.100000000000001" customHeight="1"/>
    <row r="28" spans="1:17" ht="17.100000000000001" customHeight="1"/>
    <row r="29" spans="1:17" ht="17.100000000000001" customHeight="1"/>
    <row r="30" spans="1:17" ht="17.100000000000001" customHeight="1"/>
    <row r="31" spans="1:17" ht="17.100000000000001" customHeight="1"/>
    <row r="32" spans="1:17" ht="17.100000000000001" customHeight="1"/>
    <row r="33" ht="17.100000000000001" customHeight="1"/>
    <row r="34" ht="17.100000000000001" customHeight="1"/>
    <row r="35" ht="17.100000000000001" customHeight="1"/>
    <row r="36" ht="17.100000000000001" customHeight="1"/>
  </sheetData>
  <mergeCells count="3">
    <mergeCell ref="A1:Q1"/>
    <mergeCell ref="A2:B2"/>
    <mergeCell ref="C2:Q2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6"/>
  <sheetViews>
    <sheetView view="pageBreakPreview" zoomScale="115" zoomScaleNormal="115" zoomScaleSheetLayoutView="115" workbookViewId="0">
      <selection activeCell="E3" sqref="E3"/>
    </sheetView>
  </sheetViews>
  <sheetFormatPr defaultRowHeight="12"/>
  <cols>
    <col min="1" max="1" width="4" style="1" customWidth="1"/>
    <col min="2" max="2" width="13.5546875" style="1" customWidth="1"/>
    <col min="3" max="10" width="5.77734375" style="1" customWidth="1"/>
    <col min="11" max="11" width="1.109375" style="1" customWidth="1"/>
    <col min="12" max="12" width="6.21875" style="1" customWidth="1"/>
    <col min="13" max="13" width="4.33203125" style="1" customWidth="1"/>
    <col min="14" max="14" width="9.44140625" style="1" customWidth="1"/>
    <col min="15" max="15" width="10.109375" style="1" customWidth="1"/>
    <col min="16" max="16" width="7.6640625" style="1" customWidth="1"/>
    <col min="17" max="17" width="5.21875" style="1" customWidth="1"/>
    <col min="18" max="16384" width="8.88671875" style="1"/>
  </cols>
  <sheetData>
    <row r="1" spans="1:17" ht="30" customHeight="1">
      <c r="A1" s="749" t="s">
        <v>191</v>
      </c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84"/>
      <c r="N1" s="784"/>
      <c r="O1" s="784"/>
      <c r="P1" s="784"/>
      <c r="Q1" s="750"/>
    </row>
    <row r="2" spans="1:17" ht="20.100000000000001" customHeight="1">
      <c r="A2" s="785" t="str">
        <f>'1a-Performance'!A2</f>
        <v xml:space="preserve">VE Title : </v>
      </c>
      <c r="B2" s="786"/>
      <c r="C2" s="787" t="str">
        <f>'1a-Performance'!B2</f>
        <v>포장두께</v>
      </c>
      <c r="D2" s="787"/>
      <c r="E2" s="787"/>
      <c r="F2" s="787"/>
      <c r="G2" s="787"/>
      <c r="H2" s="787"/>
      <c r="I2" s="787"/>
      <c r="J2" s="787"/>
      <c r="K2" s="787"/>
      <c r="L2" s="787"/>
      <c r="M2" s="787"/>
      <c r="N2" s="787"/>
      <c r="O2" s="787"/>
      <c r="P2" s="787"/>
      <c r="Q2" s="812"/>
    </row>
    <row r="3" spans="1:17" ht="23.25" customHeight="1">
      <c r="A3" s="99" t="s">
        <v>179</v>
      </c>
      <c r="B3" s="37"/>
      <c r="C3" s="37"/>
      <c r="D3" s="37"/>
      <c r="E3" s="37"/>
      <c r="F3" s="37"/>
      <c r="G3" s="37" t="s">
        <v>189</v>
      </c>
      <c r="H3" s="37"/>
      <c r="I3" s="37"/>
      <c r="J3" s="37"/>
      <c r="K3" s="37"/>
      <c r="L3" s="37"/>
      <c r="M3" s="37"/>
      <c r="N3" s="37"/>
      <c r="O3" s="37"/>
      <c r="P3" s="37"/>
      <c r="Q3" s="100"/>
    </row>
    <row r="4" spans="1:17" ht="8.25" customHeight="1">
      <c r="A4" s="16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100"/>
    </row>
    <row r="5" spans="1:17" ht="21" customHeight="1" thickBot="1">
      <c r="A5" s="193" t="s">
        <v>153</v>
      </c>
      <c r="B5" s="190"/>
      <c r="C5" s="150">
        <v>1</v>
      </c>
      <c r="D5" s="151">
        <v>2</v>
      </c>
      <c r="E5" s="151">
        <v>3</v>
      </c>
      <c r="F5" s="151">
        <v>4</v>
      </c>
      <c r="G5" s="151">
        <v>5</v>
      </c>
      <c r="H5" s="151">
        <v>6</v>
      </c>
      <c r="I5" s="151">
        <v>7</v>
      </c>
      <c r="J5" s="151">
        <v>8</v>
      </c>
      <c r="K5" s="37"/>
      <c r="L5" s="152" t="s">
        <v>170</v>
      </c>
      <c r="M5" s="152" t="s">
        <v>151</v>
      </c>
      <c r="N5" s="152" t="s">
        <v>157</v>
      </c>
      <c r="O5" s="152" t="s">
        <v>158</v>
      </c>
      <c r="P5" s="192" t="s">
        <v>172</v>
      </c>
      <c r="Q5" s="194" t="s">
        <v>184</v>
      </c>
    </row>
    <row r="6" spans="1:17" ht="21" customHeight="1" thickTop="1">
      <c r="A6" s="153">
        <v>1</v>
      </c>
      <c r="B6" s="154" t="str">
        <f>'3a-Attribute Rating(A)'!B6</f>
        <v>시공성</v>
      </c>
      <c r="C6" s="155">
        <v>1</v>
      </c>
      <c r="D6" s="156">
        <v>1</v>
      </c>
      <c r="E6" s="156">
        <v>2</v>
      </c>
      <c r="F6" s="156">
        <v>2</v>
      </c>
      <c r="G6" s="156">
        <v>2</v>
      </c>
      <c r="H6" s="156">
        <v>3</v>
      </c>
      <c r="I6" s="156">
        <v>2</v>
      </c>
      <c r="J6" s="156">
        <v>3</v>
      </c>
      <c r="K6" s="37"/>
      <c r="L6" s="54">
        <f t="shared" ref="L6:L11" si="0">PRODUCT(C6:J6)</f>
        <v>144</v>
      </c>
      <c r="M6" s="53">
        <f t="shared" ref="M6:M13" si="1">IF($J$6&lt;&gt;"",8,(IF($I$6&lt;&gt;"",7,(IF($H$6&lt;&gt;"",6,5)))))</f>
        <v>8</v>
      </c>
      <c r="N6" s="54">
        <f t="shared" ref="N6:N11" si="2">L6^(1/M6)</f>
        <v>1.8612097182041991</v>
      </c>
      <c r="O6" s="54">
        <f t="shared" ref="O6:O13" si="3">N6/$N$14</f>
        <v>0.21856254798816807</v>
      </c>
      <c r="P6" s="189">
        <f t="shared" ref="P6:P13" si="4">ROUND(O6,3)</f>
        <v>0.219</v>
      </c>
      <c r="Q6" s="186">
        <f t="shared" ref="Q6:Q11" si="5">ROUND(O6/MAX($O$6:$O$13)*9,0)</f>
        <v>9</v>
      </c>
    </row>
    <row r="7" spans="1:17" ht="21" customHeight="1">
      <c r="A7" s="157">
        <v>2</v>
      </c>
      <c r="B7" s="154" t="str">
        <f>'3a-Attribute Rating(A)'!B7</f>
        <v>유지관리성</v>
      </c>
      <c r="C7" s="158">
        <f>1/D6</f>
        <v>1</v>
      </c>
      <c r="D7" s="159">
        <v>1</v>
      </c>
      <c r="E7" s="180">
        <v>2</v>
      </c>
      <c r="F7" s="180">
        <v>1</v>
      </c>
      <c r="G7" s="180">
        <v>2</v>
      </c>
      <c r="H7" s="180">
        <v>2</v>
      </c>
      <c r="I7" s="180">
        <v>1</v>
      </c>
      <c r="J7" s="180">
        <v>2</v>
      </c>
      <c r="K7" s="37"/>
      <c r="L7" s="54">
        <f t="shared" si="0"/>
        <v>16</v>
      </c>
      <c r="M7" s="53">
        <f t="shared" si="1"/>
        <v>8</v>
      </c>
      <c r="N7" s="54">
        <f t="shared" si="2"/>
        <v>1.4142135623730949</v>
      </c>
      <c r="O7" s="54">
        <f t="shared" si="3"/>
        <v>0.16607162350834878</v>
      </c>
      <c r="P7" s="189">
        <f t="shared" si="4"/>
        <v>0.16600000000000001</v>
      </c>
      <c r="Q7" s="186">
        <f t="shared" si="5"/>
        <v>7</v>
      </c>
    </row>
    <row r="8" spans="1:17" ht="21" customHeight="1">
      <c r="A8" s="157">
        <v>3</v>
      </c>
      <c r="B8" s="154" t="str">
        <f>'3a-Attribute Rating(A)'!B8</f>
        <v>내구성</v>
      </c>
      <c r="C8" s="158">
        <f>1/E6</f>
        <v>0.5</v>
      </c>
      <c r="D8" s="160">
        <f>1/E7</f>
        <v>0.5</v>
      </c>
      <c r="E8" s="159">
        <v>1</v>
      </c>
      <c r="F8" s="180">
        <v>1</v>
      </c>
      <c r="G8" s="180">
        <v>1</v>
      </c>
      <c r="H8" s="180">
        <v>2</v>
      </c>
      <c r="I8" s="180">
        <v>1</v>
      </c>
      <c r="J8" s="180">
        <v>2</v>
      </c>
      <c r="K8" s="37"/>
      <c r="L8" s="54">
        <f t="shared" si="0"/>
        <v>1</v>
      </c>
      <c r="M8" s="53">
        <f t="shared" si="1"/>
        <v>8</v>
      </c>
      <c r="N8" s="54">
        <f t="shared" si="2"/>
        <v>1</v>
      </c>
      <c r="O8" s="54">
        <f t="shared" si="3"/>
        <v>0.11743037114541269</v>
      </c>
      <c r="P8" s="189">
        <f t="shared" si="4"/>
        <v>0.11700000000000001</v>
      </c>
      <c r="Q8" s="186">
        <f t="shared" si="5"/>
        <v>5</v>
      </c>
    </row>
    <row r="9" spans="1:17" ht="21" customHeight="1">
      <c r="A9" s="157">
        <v>4</v>
      </c>
      <c r="B9" s="154" t="str">
        <f>'3a-Attribute Rating(A)'!B9</f>
        <v>이용편의성</v>
      </c>
      <c r="C9" s="158">
        <f>1/F6</f>
        <v>0.5</v>
      </c>
      <c r="D9" s="160">
        <f>1/F7</f>
        <v>1</v>
      </c>
      <c r="E9" s="160">
        <f>1/F8</f>
        <v>1</v>
      </c>
      <c r="F9" s="159">
        <v>1</v>
      </c>
      <c r="G9" s="180">
        <v>1</v>
      </c>
      <c r="H9" s="180">
        <v>1</v>
      </c>
      <c r="I9" s="180">
        <v>1</v>
      </c>
      <c r="J9" s="180">
        <v>1</v>
      </c>
      <c r="K9" s="37"/>
      <c r="L9" s="54">
        <f t="shared" si="0"/>
        <v>0.5</v>
      </c>
      <c r="M9" s="53">
        <f t="shared" si="1"/>
        <v>8</v>
      </c>
      <c r="N9" s="54">
        <f t="shared" si="2"/>
        <v>0.91700404320467122</v>
      </c>
      <c r="O9" s="54">
        <f t="shared" si="3"/>
        <v>0.1076841251353686</v>
      </c>
      <c r="P9" s="189">
        <f t="shared" si="4"/>
        <v>0.108</v>
      </c>
      <c r="Q9" s="186">
        <f t="shared" si="5"/>
        <v>4</v>
      </c>
    </row>
    <row r="10" spans="1:17" ht="21" customHeight="1">
      <c r="A10" s="157">
        <v>5</v>
      </c>
      <c r="B10" s="154" t="str">
        <f>'3a-Attribute Rating(A)'!B10</f>
        <v>친환경성</v>
      </c>
      <c r="C10" s="158">
        <f>1/G6</f>
        <v>0.5</v>
      </c>
      <c r="D10" s="160">
        <f>1/G7</f>
        <v>0.5</v>
      </c>
      <c r="E10" s="160">
        <f>1/G8</f>
        <v>1</v>
      </c>
      <c r="F10" s="160">
        <f>1/G9</f>
        <v>1</v>
      </c>
      <c r="G10" s="159">
        <v>1</v>
      </c>
      <c r="H10" s="180">
        <v>2</v>
      </c>
      <c r="I10" s="180">
        <v>1</v>
      </c>
      <c r="J10" s="180">
        <v>2</v>
      </c>
      <c r="K10" s="37"/>
      <c r="L10" s="54">
        <f t="shared" si="0"/>
        <v>1</v>
      </c>
      <c r="M10" s="53">
        <f t="shared" si="1"/>
        <v>8</v>
      </c>
      <c r="N10" s="54">
        <f t="shared" si="2"/>
        <v>1</v>
      </c>
      <c r="O10" s="54">
        <f t="shared" si="3"/>
        <v>0.11743037114541269</v>
      </c>
      <c r="P10" s="189">
        <f t="shared" si="4"/>
        <v>0.11700000000000001</v>
      </c>
      <c r="Q10" s="186">
        <f t="shared" si="5"/>
        <v>5</v>
      </c>
    </row>
    <row r="11" spans="1:17" ht="21" customHeight="1">
      <c r="A11" s="157">
        <v>6</v>
      </c>
      <c r="B11" s="154" t="str">
        <f>'3a-Attribute Rating(A)'!B11</f>
        <v>배수성</v>
      </c>
      <c r="C11" s="158">
        <f>1/H6</f>
        <v>0.33333333333333331</v>
      </c>
      <c r="D11" s="160">
        <f>1/H7</f>
        <v>0.5</v>
      </c>
      <c r="E11" s="160">
        <f>1/H8</f>
        <v>0.5</v>
      </c>
      <c r="F11" s="160">
        <f>1/H9</f>
        <v>1</v>
      </c>
      <c r="G11" s="160">
        <f>1/H10</f>
        <v>0.5</v>
      </c>
      <c r="H11" s="159">
        <v>1</v>
      </c>
      <c r="I11" s="180">
        <f>1/2</f>
        <v>0.5</v>
      </c>
      <c r="J11" s="180">
        <v>1</v>
      </c>
      <c r="K11" s="37"/>
      <c r="L11" s="54">
        <f t="shared" si="0"/>
        <v>2.0833333333333332E-2</v>
      </c>
      <c r="M11" s="53">
        <f t="shared" si="1"/>
        <v>8</v>
      </c>
      <c r="N11" s="54">
        <f t="shared" si="2"/>
        <v>0.61637475842688128</v>
      </c>
      <c r="O11" s="54">
        <f t="shared" si="3"/>
        <v>7.238111664673276E-2</v>
      </c>
      <c r="P11" s="189">
        <f t="shared" si="4"/>
        <v>7.1999999999999995E-2</v>
      </c>
      <c r="Q11" s="186">
        <f t="shared" si="5"/>
        <v>3</v>
      </c>
    </row>
    <row r="12" spans="1:17" ht="21" customHeight="1">
      <c r="A12" s="157">
        <v>7</v>
      </c>
      <c r="B12" s="154" t="str">
        <f>'3a-Attribute Rating(A)'!B12</f>
        <v>교통안전성</v>
      </c>
      <c r="C12" s="158">
        <f>1/I6</f>
        <v>0.5</v>
      </c>
      <c r="D12" s="158">
        <f>1/I7</f>
        <v>1</v>
      </c>
      <c r="E12" s="158">
        <f>1/I8</f>
        <v>1</v>
      </c>
      <c r="F12" s="158">
        <f>1/I9</f>
        <v>1</v>
      </c>
      <c r="G12" s="158">
        <f>1/I10</f>
        <v>1</v>
      </c>
      <c r="H12" s="158">
        <f>1/I11</f>
        <v>2</v>
      </c>
      <c r="I12" s="159">
        <v>1</v>
      </c>
      <c r="J12" s="180">
        <v>2</v>
      </c>
      <c r="K12" s="37"/>
      <c r="L12" s="54">
        <f>PRODUCT(C12:J12)</f>
        <v>2</v>
      </c>
      <c r="M12" s="53">
        <f t="shared" si="1"/>
        <v>8</v>
      </c>
      <c r="N12" s="54">
        <f>L12^(1/M12)</f>
        <v>1.0905077326652577</v>
      </c>
      <c r="O12" s="54">
        <f t="shared" si="3"/>
        <v>0.12805872778382368</v>
      </c>
      <c r="P12" s="189">
        <f t="shared" si="4"/>
        <v>0.128</v>
      </c>
      <c r="Q12" s="186">
        <f>ROUND(O12/MAX($O$6:$O$13)*9,0)</f>
        <v>5</v>
      </c>
    </row>
    <row r="13" spans="1:17" ht="21" customHeight="1">
      <c r="A13" s="157">
        <v>8</v>
      </c>
      <c r="B13" s="154" t="str">
        <f>'3a-Attribute Rating(A)'!B13</f>
        <v>민원성</v>
      </c>
      <c r="C13" s="158">
        <f>1/J6</f>
        <v>0.33333333333333331</v>
      </c>
      <c r="D13" s="158">
        <f>1/J7</f>
        <v>0.5</v>
      </c>
      <c r="E13" s="158">
        <f>1/J8</f>
        <v>0.5</v>
      </c>
      <c r="F13" s="158">
        <f>1/J9</f>
        <v>1</v>
      </c>
      <c r="G13" s="158">
        <f>1/J10</f>
        <v>0.5</v>
      </c>
      <c r="H13" s="158">
        <f>1/J11</f>
        <v>1</v>
      </c>
      <c r="I13" s="158">
        <f>1/J12</f>
        <v>0.5</v>
      </c>
      <c r="J13" s="159">
        <v>1</v>
      </c>
      <c r="K13" s="37"/>
      <c r="L13" s="54">
        <f>PRODUCT(C13:J13)</f>
        <v>2.0833333333333332E-2</v>
      </c>
      <c r="M13" s="53">
        <f t="shared" si="1"/>
        <v>8</v>
      </c>
      <c r="N13" s="54">
        <f>L13^(1/M13)</f>
        <v>0.61637475842688128</v>
      </c>
      <c r="O13" s="54">
        <f t="shared" si="3"/>
        <v>7.238111664673276E-2</v>
      </c>
      <c r="P13" s="189">
        <f t="shared" si="4"/>
        <v>7.1999999999999995E-2</v>
      </c>
      <c r="Q13" s="186">
        <f>ROUND(O13/MAX($O$6:$O$13)*9,0)</f>
        <v>3</v>
      </c>
    </row>
    <row r="14" spans="1:17" ht="21" customHeight="1">
      <c r="A14" s="191" t="s">
        <v>173</v>
      </c>
      <c r="B14" s="163"/>
      <c r="C14" s="158">
        <f t="shared" ref="C14:J14" si="6">SUM(C6:C13)</f>
        <v>4.666666666666667</v>
      </c>
      <c r="D14" s="160">
        <f t="shared" si="6"/>
        <v>6</v>
      </c>
      <c r="E14" s="160">
        <f t="shared" si="6"/>
        <v>9</v>
      </c>
      <c r="F14" s="160">
        <f t="shared" si="6"/>
        <v>9</v>
      </c>
      <c r="G14" s="160">
        <f t="shared" si="6"/>
        <v>9</v>
      </c>
      <c r="H14" s="160">
        <f t="shared" si="6"/>
        <v>14</v>
      </c>
      <c r="I14" s="160">
        <f t="shared" si="6"/>
        <v>8</v>
      </c>
      <c r="J14" s="160">
        <f t="shared" si="6"/>
        <v>14</v>
      </c>
      <c r="K14" s="37"/>
      <c r="L14" s="77" t="s">
        <v>159</v>
      </c>
      <c r="M14" s="77"/>
      <c r="N14" s="54">
        <f>SUM(N6:N13)</f>
        <v>8.5156845733009856</v>
      </c>
      <c r="O14" s="164">
        <f>SUM(O6:O13)</f>
        <v>1</v>
      </c>
      <c r="P14" s="189">
        <f>SUM(P6:P13)</f>
        <v>0.99899999999999989</v>
      </c>
      <c r="Q14" s="195"/>
    </row>
    <row r="15" spans="1:17" ht="7.5" customHeight="1">
      <c r="A15" s="16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100"/>
    </row>
    <row r="16" spans="1:17" ht="23.25" customHeight="1">
      <c r="A16" s="99" t="s">
        <v>180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100"/>
    </row>
    <row r="17" spans="1:17" ht="21" customHeight="1">
      <c r="A17" s="165" t="s">
        <v>181</v>
      </c>
      <c r="B17" s="166"/>
      <c r="C17" s="188">
        <f>MMULT(C14:J14,O6:O13)</f>
        <v>8.1504331935430621</v>
      </c>
      <c r="D17" s="37" t="s">
        <v>174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100"/>
    </row>
    <row r="18" spans="1:17" ht="21" customHeight="1">
      <c r="A18" s="165" t="s">
        <v>182</v>
      </c>
      <c r="B18" s="37"/>
      <c r="C18" s="188">
        <f>(C17-M6)/(M6-1)</f>
        <v>2.1490456220437437E-2</v>
      </c>
      <c r="D18" s="37" t="s">
        <v>175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100"/>
    </row>
    <row r="19" spans="1:17" ht="21" customHeight="1">
      <c r="A19" s="165" t="s">
        <v>183</v>
      </c>
      <c r="B19" s="37"/>
      <c r="C19" s="188">
        <f>C18/(HLOOKUP(M6,C20:J21,2,TRUE))</f>
        <v>1.5241458312366977E-2</v>
      </c>
      <c r="D19" s="37" t="s">
        <v>176</v>
      </c>
      <c r="E19" s="37"/>
      <c r="F19" s="37" t="str">
        <f>IF(C19&lt;=0.1,"∴O.K","∴N.G")</f>
        <v>∴O.K</v>
      </c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100"/>
    </row>
    <row r="20" spans="1:17" ht="21" customHeight="1">
      <c r="A20" s="167"/>
      <c r="B20" s="152" t="s">
        <v>151</v>
      </c>
      <c r="C20" s="53">
        <v>3</v>
      </c>
      <c r="D20" s="53">
        <v>4</v>
      </c>
      <c r="E20" s="53">
        <v>5</v>
      </c>
      <c r="F20" s="53">
        <v>6</v>
      </c>
      <c r="G20" s="53">
        <v>7</v>
      </c>
      <c r="H20" s="53">
        <v>8</v>
      </c>
      <c r="I20" s="53">
        <v>9</v>
      </c>
      <c r="J20" s="53">
        <v>10</v>
      </c>
      <c r="K20" s="37"/>
      <c r="L20" s="37"/>
      <c r="M20" s="37"/>
      <c r="N20" s="37"/>
      <c r="O20" s="37"/>
      <c r="P20" s="37"/>
      <c r="Q20" s="100"/>
    </row>
    <row r="21" spans="1:17" ht="21" customHeight="1">
      <c r="A21" s="167"/>
      <c r="B21" s="152" t="s">
        <v>152</v>
      </c>
      <c r="C21" s="53">
        <v>0.57999999999999996</v>
      </c>
      <c r="D21" s="53">
        <v>0.9</v>
      </c>
      <c r="E21" s="53">
        <v>1.1200000000000001</v>
      </c>
      <c r="F21" s="53">
        <v>1.24</v>
      </c>
      <c r="G21" s="53">
        <v>1.32</v>
      </c>
      <c r="H21" s="53">
        <v>1.41</v>
      </c>
      <c r="I21" s="53">
        <v>1.45</v>
      </c>
      <c r="J21" s="53">
        <v>1.51</v>
      </c>
      <c r="K21" s="37"/>
      <c r="L21" s="37"/>
      <c r="M21" s="37"/>
      <c r="N21" s="37"/>
      <c r="O21" s="37"/>
      <c r="P21" s="37"/>
      <c r="Q21" s="100"/>
    </row>
    <row r="22" spans="1:17" ht="51" customHeight="1" thickBot="1">
      <c r="A22" s="103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5"/>
    </row>
    <row r="23" spans="1:17" ht="18.95" customHeight="1"/>
    <row r="24" spans="1:17" ht="18.95" customHeight="1"/>
    <row r="25" spans="1:17" ht="17.100000000000001" customHeight="1"/>
    <row r="26" spans="1:17" ht="17.100000000000001" customHeight="1"/>
    <row r="27" spans="1:17" ht="17.100000000000001" customHeight="1"/>
    <row r="28" spans="1:17" ht="17.100000000000001" customHeight="1"/>
    <row r="29" spans="1:17" ht="17.100000000000001" customHeight="1"/>
    <row r="30" spans="1:17" ht="17.100000000000001" customHeight="1"/>
    <row r="31" spans="1:17" ht="17.100000000000001" customHeight="1"/>
    <row r="32" spans="1:17" ht="17.100000000000001" customHeight="1"/>
    <row r="33" ht="17.100000000000001" customHeight="1"/>
    <row r="34" ht="17.100000000000001" customHeight="1"/>
    <row r="35" ht="17.100000000000001" customHeight="1"/>
    <row r="36" ht="17.100000000000001" customHeight="1"/>
  </sheetData>
  <mergeCells count="3">
    <mergeCell ref="A1:Q1"/>
    <mergeCell ref="A2:B2"/>
    <mergeCell ref="C2:Q2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6"/>
  <sheetViews>
    <sheetView view="pageBreakPreview" zoomScale="115" zoomScaleNormal="115" zoomScaleSheetLayoutView="115" workbookViewId="0">
      <selection activeCell="E3" sqref="E3"/>
    </sheetView>
  </sheetViews>
  <sheetFormatPr defaultRowHeight="12"/>
  <cols>
    <col min="1" max="1" width="4" style="1" customWidth="1"/>
    <col min="2" max="2" width="13.5546875" style="1" customWidth="1"/>
    <col min="3" max="10" width="5.77734375" style="1" customWidth="1"/>
    <col min="11" max="11" width="1.109375" style="1" customWidth="1"/>
    <col min="12" max="12" width="6.21875" style="1" customWidth="1"/>
    <col min="13" max="13" width="4.33203125" style="1" customWidth="1"/>
    <col min="14" max="14" width="9.44140625" style="1" customWidth="1"/>
    <col min="15" max="15" width="10.109375" style="1" customWidth="1"/>
    <col min="16" max="16" width="7.6640625" style="1" customWidth="1"/>
    <col min="17" max="17" width="5.21875" style="1" customWidth="1"/>
    <col min="18" max="16384" width="8.88671875" style="1"/>
  </cols>
  <sheetData>
    <row r="1" spans="1:17" ht="30" customHeight="1">
      <c r="A1" s="749" t="s">
        <v>192</v>
      </c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84"/>
      <c r="N1" s="784"/>
      <c r="O1" s="784"/>
      <c r="P1" s="784"/>
      <c r="Q1" s="750"/>
    </row>
    <row r="2" spans="1:17" ht="20.100000000000001" customHeight="1">
      <c r="A2" s="785" t="str">
        <f>'1a-Performance'!A2</f>
        <v xml:space="preserve">VE Title : </v>
      </c>
      <c r="B2" s="786"/>
      <c r="C2" s="787" t="str">
        <f>'1a-Performance'!B2</f>
        <v>포장두께</v>
      </c>
      <c r="D2" s="787"/>
      <c r="E2" s="787"/>
      <c r="F2" s="787"/>
      <c r="G2" s="787"/>
      <c r="H2" s="787"/>
      <c r="I2" s="787"/>
      <c r="J2" s="787"/>
      <c r="K2" s="787"/>
      <c r="L2" s="787"/>
      <c r="M2" s="787"/>
      <c r="N2" s="787"/>
      <c r="O2" s="787"/>
      <c r="P2" s="787"/>
      <c r="Q2" s="812"/>
    </row>
    <row r="3" spans="1:17" ht="23.25" customHeight="1">
      <c r="A3" s="99" t="s">
        <v>179</v>
      </c>
      <c r="B3" s="37"/>
      <c r="C3" s="37"/>
      <c r="D3" s="37"/>
      <c r="E3" s="37"/>
      <c r="F3" s="37"/>
      <c r="G3" s="37" t="s">
        <v>189</v>
      </c>
      <c r="H3" s="37"/>
      <c r="I3" s="37"/>
      <c r="J3" s="37"/>
      <c r="K3" s="37"/>
      <c r="L3" s="37"/>
      <c r="M3" s="37"/>
      <c r="N3" s="37"/>
      <c r="O3" s="37"/>
      <c r="P3" s="37"/>
      <c r="Q3" s="100"/>
    </row>
    <row r="4" spans="1:17" ht="8.25" customHeight="1">
      <c r="A4" s="16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100"/>
    </row>
    <row r="5" spans="1:17" ht="21" customHeight="1" thickBot="1">
      <c r="A5" s="193" t="s">
        <v>153</v>
      </c>
      <c r="B5" s="190"/>
      <c r="C5" s="150">
        <v>1</v>
      </c>
      <c r="D5" s="151">
        <v>2</v>
      </c>
      <c r="E5" s="151">
        <v>3</v>
      </c>
      <c r="F5" s="151">
        <v>4</v>
      </c>
      <c r="G5" s="151">
        <v>5</v>
      </c>
      <c r="H5" s="151">
        <v>6</v>
      </c>
      <c r="I5" s="151">
        <v>7</v>
      </c>
      <c r="J5" s="151">
        <v>8</v>
      </c>
      <c r="K5" s="37"/>
      <c r="L5" s="152" t="s">
        <v>170</v>
      </c>
      <c r="M5" s="152" t="s">
        <v>151</v>
      </c>
      <c r="N5" s="152" t="s">
        <v>157</v>
      </c>
      <c r="O5" s="152" t="s">
        <v>158</v>
      </c>
      <c r="P5" s="192" t="s">
        <v>172</v>
      </c>
      <c r="Q5" s="194" t="s">
        <v>184</v>
      </c>
    </row>
    <row r="6" spans="1:17" ht="21" customHeight="1" thickTop="1">
      <c r="A6" s="153">
        <v>1</v>
      </c>
      <c r="B6" s="154" t="str">
        <f>'3a-Attribute Rating(A)'!B6</f>
        <v>시공성</v>
      </c>
      <c r="C6" s="155">
        <v>1</v>
      </c>
      <c r="D6" s="156">
        <v>1</v>
      </c>
      <c r="E6" s="156">
        <v>2</v>
      </c>
      <c r="F6" s="156">
        <v>2</v>
      </c>
      <c r="G6" s="156">
        <v>2</v>
      </c>
      <c r="H6" s="156">
        <v>3</v>
      </c>
      <c r="I6" s="156">
        <v>2</v>
      </c>
      <c r="J6" s="156">
        <v>3</v>
      </c>
      <c r="K6" s="37"/>
      <c r="L6" s="54">
        <f t="shared" ref="L6:L11" si="0">PRODUCT(C6:J6)</f>
        <v>144</v>
      </c>
      <c r="M6" s="53">
        <f t="shared" ref="M6:M13" si="1">IF($J$6&lt;&gt;"",8,(IF($I$6&lt;&gt;"",7,(IF($H$6&lt;&gt;"",6,5)))))</f>
        <v>8</v>
      </c>
      <c r="N6" s="54">
        <f t="shared" ref="N6:N11" si="2">L6^(1/M6)</f>
        <v>1.8612097182041991</v>
      </c>
      <c r="O6" s="54">
        <f t="shared" ref="O6:O13" si="3">N6/$N$14</f>
        <v>0.21856254798816807</v>
      </c>
      <c r="P6" s="189">
        <f t="shared" ref="P6:P13" si="4">ROUND(O6,3)</f>
        <v>0.219</v>
      </c>
      <c r="Q6" s="186">
        <f t="shared" ref="Q6:Q11" si="5">ROUND(O6/MAX($O$6:$O$13)*9,0)</f>
        <v>9</v>
      </c>
    </row>
    <row r="7" spans="1:17" ht="21" customHeight="1">
      <c r="A7" s="157">
        <v>2</v>
      </c>
      <c r="B7" s="154" t="str">
        <f>'3a-Attribute Rating(A)'!B7</f>
        <v>유지관리성</v>
      </c>
      <c r="C7" s="158">
        <f>1/D6</f>
        <v>1</v>
      </c>
      <c r="D7" s="159">
        <v>1</v>
      </c>
      <c r="E7" s="180">
        <v>2</v>
      </c>
      <c r="F7" s="180">
        <v>1</v>
      </c>
      <c r="G7" s="180">
        <v>2</v>
      </c>
      <c r="H7" s="180">
        <v>2</v>
      </c>
      <c r="I7" s="180">
        <v>1</v>
      </c>
      <c r="J7" s="180">
        <v>2</v>
      </c>
      <c r="K7" s="37"/>
      <c r="L7" s="54">
        <f t="shared" si="0"/>
        <v>16</v>
      </c>
      <c r="M7" s="53">
        <f t="shared" si="1"/>
        <v>8</v>
      </c>
      <c r="N7" s="54">
        <f t="shared" si="2"/>
        <v>1.4142135623730949</v>
      </c>
      <c r="O7" s="54">
        <f t="shared" si="3"/>
        <v>0.16607162350834878</v>
      </c>
      <c r="P7" s="189">
        <f t="shared" si="4"/>
        <v>0.16600000000000001</v>
      </c>
      <c r="Q7" s="186">
        <f t="shared" si="5"/>
        <v>7</v>
      </c>
    </row>
    <row r="8" spans="1:17" ht="21" customHeight="1">
      <c r="A8" s="157">
        <v>3</v>
      </c>
      <c r="B8" s="154" t="str">
        <f>'3a-Attribute Rating(A)'!B8</f>
        <v>내구성</v>
      </c>
      <c r="C8" s="158">
        <f>1/E6</f>
        <v>0.5</v>
      </c>
      <c r="D8" s="160">
        <f>1/E7</f>
        <v>0.5</v>
      </c>
      <c r="E8" s="159">
        <v>1</v>
      </c>
      <c r="F8" s="180">
        <v>1</v>
      </c>
      <c r="G8" s="180">
        <v>1</v>
      </c>
      <c r="H8" s="180">
        <v>2</v>
      </c>
      <c r="I8" s="180">
        <v>1</v>
      </c>
      <c r="J8" s="180">
        <v>2</v>
      </c>
      <c r="K8" s="37"/>
      <c r="L8" s="54">
        <f t="shared" si="0"/>
        <v>1</v>
      </c>
      <c r="M8" s="53">
        <f t="shared" si="1"/>
        <v>8</v>
      </c>
      <c r="N8" s="54">
        <f t="shared" si="2"/>
        <v>1</v>
      </c>
      <c r="O8" s="54">
        <f t="shared" si="3"/>
        <v>0.11743037114541269</v>
      </c>
      <c r="P8" s="189">
        <f t="shared" si="4"/>
        <v>0.11700000000000001</v>
      </c>
      <c r="Q8" s="186">
        <f t="shared" si="5"/>
        <v>5</v>
      </c>
    </row>
    <row r="9" spans="1:17" ht="21" customHeight="1">
      <c r="A9" s="157">
        <v>4</v>
      </c>
      <c r="B9" s="154" t="str">
        <f>'3a-Attribute Rating(A)'!B9</f>
        <v>이용편의성</v>
      </c>
      <c r="C9" s="158">
        <f>1/F6</f>
        <v>0.5</v>
      </c>
      <c r="D9" s="160">
        <f>1/F7</f>
        <v>1</v>
      </c>
      <c r="E9" s="160">
        <f>1/F8</f>
        <v>1</v>
      </c>
      <c r="F9" s="159">
        <v>1</v>
      </c>
      <c r="G9" s="180">
        <v>1</v>
      </c>
      <c r="H9" s="180">
        <v>1</v>
      </c>
      <c r="I9" s="180">
        <v>1</v>
      </c>
      <c r="J9" s="180">
        <v>1</v>
      </c>
      <c r="K9" s="37"/>
      <c r="L9" s="54">
        <f t="shared" si="0"/>
        <v>0.5</v>
      </c>
      <c r="M9" s="53">
        <f t="shared" si="1"/>
        <v>8</v>
      </c>
      <c r="N9" s="54">
        <f t="shared" si="2"/>
        <v>0.91700404320467122</v>
      </c>
      <c r="O9" s="54">
        <f t="shared" si="3"/>
        <v>0.1076841251353686</v>
      </c>
      <c r="P9" s="189">
        <f t="shared" si="4"/>
        <v>0.108</v>
      </c>
      <c r="Q9" s="186">
        <f t="shared" si="5"/>
        <v>4</v>
      </c>
    </row>
    <row r="10" spans="1:17" ht="21" customHeight="1">
      <c r="A10" s="157">
        <v>5</v>
      </c>
      <c r="B10" s="154" t="str">
        <f>'3a-Attribute Rating(A)'!B10</f>
        <v>친환경성</v>
      </c>
      <c r="C10" s="158">
        <f>1/G6</f>
        <v>0.5</v>
      </c>
      <c r="D10" s="160">
        <f>1/G7</f>
        <v>0.5</v>
      </c>
      <c r="E10" s="160">
        <f>1/G8</f>
        <v>1</v>
      </c>
      <c r="F10" s="160">
        <f>1/G9</f>
        <v>1</v>
      </c>
      <c r="G10" s="159">
        <v>1</v>
      </c>
      <c r="H10" s="180">
        <v>2</v>
      </c>
      <c r="I10" s="180">
        <v>1</v>
      </c>
      <c r="J10" s="180">
        <v>2</v>
      </c>
      <c r="K10" s="37"/>
      <c r="L10" s="54">
        <f t="shared" si="0"/>
        <v>1</v>
      </c>
      <c r="M10" s="53">
        <f t="shared" si="1"/>
        <v>8</v>
      </c>
      <c r="N10" s="54">
        <f t="shared" si="2"/>
        <v>1</v>
      </c>
      <c r="O10" s="54">
        <f t="shared" si="3"/>
        <v>0.11743037114541269</v>
      </c>
      <c r="P10" s="189">
        <f t="shared" si="4"/>
        <v>0.11700000000000001</v>
      </c>
      <c r="Q10" s="186">
        <f t="shared" si="5"/>
        <v>5</v>
      </c>
    </row>
    <row r="11" spans="1:17" ht="21" customHeight="1">
      <c r="A11" s="157">
        <v>6</v>
      </c>
      <c r="B11" s="154" t="str">
        <f>'3a-Attribute Rating(A)'!B11</f>
        <v>배수성</v>
      </c>
      <c r="C11" s="158">
        <f>1/H6</f>
        <v>0.33333333333333331</v>
      </c>
      <c r="D11" s="160">
        <f>1/H7</f>
        <v>0.5</v>
      </c>
      <c r="E11" s="160">
        <f>1/H8</f>
        <v>0.5</v>
      </c>
      <c r="F11" s="160">
        <f>1/H9</f>
        <v>1</v>
      </c>
      <c r="G11" s="160">
        <f>1/H10</f>
        <v>0.5</v>
      </c>
      <c r="H11" s="159">
        <v>1</v>
      </c>
      <c r="I11" s="180">
        <f>1/2</f>
        <v>0.5</v>
      </c>
      <c r="J11" s="180">
        <v>1</v>
      </c>
      <c r="K11" s="37"/>
      <c r="L11" s="54">
        <f t="shared" si="0"/>
        <v>2.0833333333333332E-2</v>
      </c>
      <c r="M11" s="53">
        <f t="shared" si="1"/>
        <v>8</v>
      </c>
      <c r="N11" s="54">
        <f t="shared" si="2"/>
        <v>0.61637475842688128</v>
      </c>
      <c r="O11" s="54">
        <f t="shared" si="3"/>
        <v>7.238111664673276E-2</v>
      </c>
      <c r="P11" s="189">
        <f t="shared" si="4"/>
        <v>7.1999999999999995E-2</v>
      </c>
      <c r="Q11" s="186">
        <f t="shared" si="5"/>
        <v>3</v>
      </c>
    </row>
    <row r="12" spans="1:17" ht="21" customHeight="1">
      <c r="A12" s="157">
        <v>7</v>
      </c>
      <c r="B12" s="154" t="str">
        <f>'3a-Attribute Rating(A)'!B12</f>
        <v>교통안전성</v>
      </c>
      <c r="C12" s="158">
        <f>1/I6</f>
        <v>0.5</v>
      </c>
      <c r="D12" s="158">
        <f>1/I7</f>
        <v>1</v>
      </c>
      <c r="E12" s="158">
        <f>1/I8</f>
        <v>1</v>
      </c>
      <c r="F12" s="158">
        <f>1/I9</f>
        <v>1</v>
      </c>
      <c r="G12" s="158">
        <f>1/I10</f>
        <v>1</v>
      </c>
      <c r="H12" s="158">
        <f>1/I11</f>
        <v>2</v>
      </c>
      <c r="I12" s="159">
        <v>1</v>
      </c>
      <c r="J12" s="180">
        <v>2</v>
      </c>
      <c r="K12" s="37"/>
      <c r="L12" s="54">
        <f>PRODUCT(C12:J12)</f>
        <v>2</v>
      </c>
      <c r="M12" s="53">
        <f t="shared" si="1"/>
        <v>8</v>
      </c>
      <c r="N12" s="54">
        <f>L12^(1/M12)</f>
        <v>1.0905077326652577</v>
      </c>
      <c r="O12" s="54">
        <f t="shared" si="3"/>
        <v>0.12805872778382368</v>
      </c>
      <c r="P12" s="189">
        <f t="shared" si="4"/>
        <v>0.128</v>
      </c>
      <c r="Q12" s="186">
        <f>ROUND(O12/MAX($O$6:$O$13)*9,0)</f>
        <v>5</v>
      </c>
    </row>
    <row r="13" spans="1:17" ht="21" customHeight="1">
      <c r="A13" s="157">
        <v>8</v>
      </c>
      <c r="B13" s="154" t="str">
        <f>'3a-Attribute Rating(A)'!B13</f>
        <v>민원성</v>
      </c>
      <c r="C13" s="158">
        <f>1/J6</f>
        <v>0.33333333333333331</v>
      </c>
      <c r="D13" s="158">
        <f>1/J7</f>
        <v>0.5</v>
      </c>
      <c r="E13" s="158">
        <f>1/J8</f>
        <v>0.5</v>
      </c>
      <c r="F13" s="158">
        <f>1/J9</f>
        <v>1</v>
      </c>
      <c r="G13" s="158">
        <f>1/J10</f>
        <v>0.5</v>
      </c>
      <c r="H13" s="158">
        <f>1/J11</f>
        <v>1</v>
      </c>
      <c r="I13" s="158">
        <f>1/J12</f>
        <v>0.5</v>
      </c>
      <c r="J13" s="159">
        <v>1</v>
      </c>
      <c r="K13" s="37"/>
      <c r="L13" s="54">
        <f>PRODUCT(C13:J13)</f>
        <v>2.0833333333333332E-2</v>
      </c>
      <c r="M13" s="53">
        <f t="shared" si="1"/>
        <v>8</v>
      </c>
      <c r="N13" s="54">
        <f>L13^(1/M13)</f>
        <v>0.61637475842688128</v>
      </c>
      <c r="O13" s="54">
        <f t="shared" si="3"/>
        <v>7.238111664673276E-2</v>
      </c>
      <c r="P13" s="189">
        <f t="shared" si="4"/>
        <v>7.1999999999999995E-2</v>
      </c>
      <c r="Q13" s="186">
        <f>ROUND(O13/MAX($O$6:$O$13)*9,0)</f>
        <v>3</v>
      </c>
    </row>
    <row r="14" spans="1:17" ht="21" customHeight="1">
      <c r="A14" s="191" t="s">
        <v>173</v>
      </c>
      <c r="B14" s="163"/>
      <c r="C14" s="158">
        <f t="shared" ref="C14:J14" si="6">SUM(C6:C13)</f>
        <v>4.666666666666667</v>
      </c>
      <c r="D14" s="160">
        <f t="shared" si="6"/>
        <v>6</v>
      </c>
      <c r="E14" s="160">
        <f t="shared" si="6"/>
        <v>9</v>
      </c>
      <c r="F14" s="160">
        <f t="shared" si="6"/>
        <v>9</v>
      </c>
      <c r="G14" s="160">
        <f t="shared" si="6"/>
        <v>9</v>
      </c>
      <c r="H14" s="160">
        <f t="shared" si="6"/>
        <v>14</v>
      </c>
      <c r="I14" s="160">
        <f t="shared" si="6"/>
        <v>8</v>
      </c>
      <c r="J14" s="160">
        <f t="shared" si="6"/>
        <v>14</v>
      </c>
      <c r="K14" s="37"/>
      <c r="L14" s="77" t="s">
        <v>159</v>
      </c>
      <c r="M14" s="77"/>
      <c r="N14" s="54">
        <f>SUM(N6:N13)</f>
        <v>8.5156845733009856</v>
      </c>
      <c r="O14" s="164">
        <f>SUM(O6:O13)</f>
        <v>1</v>
      </c>
      <c r="P14" s="189">
        <f>SUM(P6:P13)</f>
        <v>0.99899999999999989</v>
      </c>
      <c r="Q14" s="195"/>
    </row>
    <row r="15" spans="1:17" ht="7.5" customHeight="1">
      <c r="A15" s="16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100"/>
    </row>
    <row r="16" spans="1:17" ht="23.25" customHeight="1">
      <c r="A16" s="99" t="s">
        <v>180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100"/>
    </row>
    <row r="17" spans="1:17" ht="21" customHeight="1">
      <c r="A17" s="165" t="s">
        <v>181</v>
      </c>
      <c r="B17" s="166"/>
      <c r="C17" s="188">
        <f>MMULT(C14:J14,O6:O13)</f>
        <v>8.1504331935430621</v>
      </c>
      <c r="D17" s="37" t="s">
        <v>174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100"/>
    </row>
    <row r="18" spans="1:17" ht="21" customHeight="1">
      <c r="A18" s="165" t="s">
        <v>182</v>
      </c>
      <c r="B18" s="37"/>
      <c r="C18" s="188">
        <f>(C17-M6)/(M6-1)</f>
        <v>2.1490456220437437E-2</v>
      </c>
      <c r="D18" s="37" t="s">
        <v>175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100"/>
    </row>
    <row r="19" spans="1:17" ht="21" customHeight="1">
      <c r="A19" s="165" t="s">
        <v>183</v>
      </c>
      <c r="B19" s="37"/>
      <c r="C19" s="188">
        <f>C18/(HLOOKUP(M6,C20:J21,2,TRUE))</f>
        <v>1.5241458312366977E-2</v>
      </c>
      <c r="D19" s="37" t="s">
        <v>176</v>
      </c>
      <c r="E19" s="37"/>
      <c r="F19" s="37" t="str">
        <f>IF(C19&lt;=0.1,"∴O.K","∴N.G")</f>
        <v>∴O.K</v>
      </c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100"/>
    </row>
    <row r="20" spans="1:17" ht="21" customHeight="1">
      <c r="A20" s="167"/>
      <c r="B20" s="152" t="s">
        <v>151</v>
      </c>
      <c r="C20" s="53">
        <v>3</v>
      </c>
      <c r="D20" s="53">
        <v>4</v>
      </c>
      <c r="E20" s="53">
        <v>5</v>
      </c>
      <c r="F20" s="53">
        <v>6</v>
      </c>
      <c r="G20" s="53">
        <v>7</v>
      </c>
      <c r="H20" s="53">
        <v>8</v>
      </c>
      <c r="I20" s="53">
        <v>9</v>
      </c>
      <c r="J20" s="53">
        <v>10</v>
      </c>
      <c r="K20" s="37"/>
      <c r="L20" s="37"/>
      <c r="M20" s="37"/>
      <c r="N20" s="37"/>
      <c r="O20" s="37"/>
      <c r="P20" s="37"/>
      <c r="Q20" s="100"/>
    </row>
    <row r="21" spans="1:17" ht="21" customHeight="1">
      <c r="A21" s="167"/>
      <c r="B21" s="152" t="s">
        <v>152</v>
      </c>
      <c r="C21" s="53">
        <v>0.57999999999999996</v>
      </c>
      <c r="D21" s="53">
        <v>0.9</v>
      </c>
      <c r="E21" s="53">
        <v>1.1200000000000001</v>
      </c>
      <c r="F21" s="53">
        <v>1.24</v>
      </c>
      <c r="G21" s="53">
        <v>1.32</v>
      </c>
      <c r="H21" s="53">
        <v>1.41</v>
      </c>
      <c r="I21" s="53">
        <v>1.45</v>
      </c>
      <c r="J21" s="53">
        <v>1.51</v>
      </c>
      <c r="K21" s="37"/>
      <c r="L21" s="37"/>
      <c r="M21" s="37"/>
      <c r="N21" s="37"/>
      <c r="O21" s="37"/>
      <c r="P21" s="37"/>
      <c r="Q21" s="100"/>
    </row>
    <row r="22" spans="1:17" ht="51" customHeight="1" thickBot="1">
      <c r="A22" s="103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5"/>
    </row>
    <row r="23" spans="1:17" ht="18.95" customHeight="1"/>
    <row r="24" spans="1:17" ht="18.95" customHeight="1"/>
    <row r="25" spans="1:17" ht="17.100000000000001" customHeight="1"/>
    <row r="26" spans="1:17" ht="17.100000000000001" customHeight="1"/>
    <row r="27" spans="1:17" ht="17.100000000000001" customHeight="1"/>
    <row r="28" spans="1:17" ht="17.100000000000001" customHeight="1"/>
    <row r="29" spans="1:17" ht="17.100000000000001" customHeight="1"/>
    <row r="30" spans="1:17" ht="17.100000000000001" customHeight="1"/>
    <row r="31" spans="1:17" ht="17.100000000000001" customHeight="1"/>
    <row r="32" spans="1:17" ht="17.100000000000001" customHeight="1"/>
    <row r="33" ht="17.100000000000001" customHeight="1"/>
    <row r="34" ht="17.100000000000001" customHeight="1"/>
    <row r="35" ht="17.100000000000001" customHeight="1"/>
    <row r="36" ht="17.100000000000001" customHeight="1"/>
  </sheetData>
  <mergeCells count="3">
    <mergeCell ref="A1:Q1"/>
    <mergeCell ref="A2:B2"/>
    <mergeCell ref="C2:Q2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656"/>
  <sheetViews>
    <sheetView view="pageBreakPreview" topLeftCell="A16" zoomScale="115" zoomScaleNormal="115" zoomScaleSheetLayoutView="115" workbookViewId="0">
      <selection activeCell="AC26" sqref="AC26"/>
    </sheetView>
  </sheetViews>
  <sheetFormatPr defaultRowHeight="12"/>
  <cols>
    <col min="1" max="1" width="13.44140625" style="1" customWidth="1"/>
    <col min="2" max="18" width="2.77734375" style="1" customWidth="1"/>
    <col min="19" max="19" width="13.44140625" style="2" customWidth="1"/>
    <col min="20" max="16384" width="8.88671875" style="1"/>
  </cols>
  <sheetData>
    <row r="1" spans="1:20" ht="27.75" customHeight="1">
      <c r="A1" s="235" t="s">
        <v>72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7"/>
    </row>
    <row r="2" spans="1:20" ht="19.5" customHeight="1" thickBot="1">
      <c r="A2" s="125" t="str">
        <f>'1a-Performance'!A2:B2</f>
        <v xml:space="preserve">VE Title : </v>
      </c>
      <c r="B2" s="813" t="str">
        <f>'1a-Performance'!B2</f>
        <v>포장두께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238"/>
    </row>
    <row r="3" spans="1:20" ht="18.95" customHeight="1" thickBot="1">
      <c r="A3" s="223" t="s">
        <v>193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5"/>
      <c r="T3" s="13"/>
    </row>
    <row r="4" spans="1:20" ht="33.75" customHeight="1" thickBot="1">
      <c r="A4" s="226" t="s">
        <v>194</v>
      </c>
      <c r="B4" s="227" t="s">
        <v>195</v>
      </c>
      <c r="C4" s="228"/>
      <c r="D4" s="227" t="s">
        <v>196</v>
      </c>
      <c r="E4" s="228"/>
      <c r="F4" s="227" t="s">
        <v>197</v>
      </c>
      <c r="G4" s="228"/>
      <c r="H4" s="227" t="s">
        <v>198</v>
      </c>
      <c r="I4" s="228"/>
      <c r="J4" s="227" t="s">
        <v>199</v>
      </c>
      <c r="K4" s="228"/>
      <c r="L4" s="227" t="s">
        <v>198</v>
      </c>
      <c r="M4" s="228"/>
      <c r="N4" s="227" t="s">
        <v>197</v>
      </c>
      <c r="O4" s="228"/>
      <c r="P4" s="227" t="s">
        <v>196</v>
      </c>
      <c r="Q4" s="228"/>
      <c r="R4" s="227" t="s">
        <v>195</v>
      </c>
      <c r="S4" s="229" t="s">
        <v>194</v>
      </c>
    </row>
    <row r="5" spans="1:20" ht="17.100000000000001" customHeight="1">
      <c r="A5" s="201" t="str">
        <f>'1a-Performance'!A5</f>
        <v>시공성</v>
      </c>
      <c r="B5" s="181" t="s">
        <v>200</v>
      </c>
      <c r="C5" s="181" t="s">
        <v>201</v>
      </c>
      <c r="D5" s="181" t="s">
        <v>202</v>
      </c>
      <c r="E5" s="181" t="s">
        <v>203</v>
      </c>
      <c r="F5" s="181" t="s">
        <v>204</v>
      </c>
      <c r="G5" s="181" t="s">
        <v>205</v>
      </c>
      <c r="H5" s="181" t="s">
        <v>206</v>
      </c>
      <c r="I5" s="181" t="s">
        <v>207</v>
      </c>
      <c r="J5" s="181" t="s">
        <v>208</v>
      </c>
      <c r="K5" s="181" t="s">
        <v>207</v>
      </c>
      <c r="L5" s="181" t="s">
        <v>206</v>
      </c>
      <c r="M5" s="181" t="s">
        <v>205</v>
      </c>
      <c r="N5" s="181" t="s">
        <v>204</v>
      </c>
      <c r="O5" s="181" t="s">
        <v>203</v>
      </c>
      <c r="P5" s="181" t="s">
        <v>202</v>
      </c>
      <c r="Q5" s="181" t="s">
        <v>201</v>
      </c>
      <c r="R5" s="181" t="s">
        <v>200</v>
      </c>
      <c r="S5" s="170" t="str">
        <f>'1a-Performance'!A6</f>
        <v>유지관리성</v>
      </c>
    </row>
    <row r="6" spans="1:20" ht="17.100000000000001" customHeight="1">
      <c r="A6" s="202"/>
      <c r="B6" s="53" t="s">
        <v>200</v>
      </c>
      <c r="C6" s="53" t="s">
        <v>201</v>
      </c>
      <c r="D6" s="53" t="s">
        <v>202</v>
      </c>
      <c r="E6" s="53" t="s">
        <v>203</v>
      </c>
      <c r="F6" s="53" t="s">
        <v>204</v>
      </c>
      <c r="G6" s="53" t="s">
        <v>205</v>
      </c>
      <c r="H6" s="53" t="s">
        <v>206</v>
      </c>
      <c r="I6" s="53" t="s">
        <v>207</v>
      </c>
      <c r="J6" s="53" t="s">
        <v>208</v>
      </c>
      <c r="K6" s="53" t="s">
        <v>207</v>
      </c>
      <c r="L6" s="53" t="s">
        <v>206</v>
      </c>
      <c r="M6" s="53" t="s">
        <v>205</v>
      </c>
      <c r="N6" s="53" t="s">
        <v>204</v>
      </c>
      <c r="O6" s="53" t="s">
        <v>203</v>
      </c>
      <c r="P6" s="53" t="s">
        <v>202</v>
      </c>
      <c r="Q6" s="53" t="s">
        <v>201</v>
      </c>
      <c r="R6" s="53" t="s">
        <v>200</v>
      </c>
      <c r="S6" s="203" t="str">
        <f>'1a-Performance'!A7</f>
        <v>내구성</v>
      </c>
    </row>
    <row r="7" spans="1:20" ht="17.100000000000001" customHeight="1">
      <c r="A7" s="204"/>
      <c r="B7" s="53" t="s">
        <v>200</v>
      </c>
      <c r="C7" s="53" t="s">
        <v>201</v>
      </c>
      <c r="D7" s="53" t="s">
        <v>202</v>
      </c>
      <c r="E7" s="53" t="s">
        <v>203</v>
      </c>
      <c r="F7" s="53" t="s">
        <v>204</v>
      </c>
      <c r="G7" s="53" t="s">
        <v>205</v>
      </c>
      <c r="H7" s="53" t="s">
        <v>206</v>
      </c>
      <c r="I7" s="53" t="s">
        <v>207</v>
      </c>
      <c r="J7" s="53" t="s">
        <v>208</v>
      </c>
      <c r="K7" s="53" t="s">
        <v>207</v>
      </c>
      <c r="L7" s="53" t="s">
        <v>206</v>
      </c>
      <c r="M7" s="53" t="s">
        <v>205</v>
      </c>
      <c r="N7" s="53" t="s">
        <v>204</v>
      </c>
      <c r="O7" s="53" t="s">
        <v>203</v>
      </c>
      <c r="P7" s="53" t="s">
        <v>202</v>
      </c>
      <c r="Q7" s="53" t="s">
        <v>201</v>
      </c>
      <c r="R7" s="53" t="s">
        <v>200</v>
      </c>
      <c r="S7" s="203" t="str">
        <f>'1a-Performance'!A8</f>
        <v>이용편의성</v>
      </c>
    </row>
    <row r="8" spans="1:20" ht="17.100000000000001" customHeight="1">
      <c r="A8" s="202"/>
      <c r="B8" s="53" t="s">
        <v>200</v>
      </c>
      <c r="C8" s="53" t="s">
        <v>201</v>
      </c>
      <c r="D8" s="53" t="s">
        <v>202</v>
      </c>
      <c r="E8" s="53" t="s">
        <v>203</v>
      </c>
      <c r="F8" s="53" t="s">
        <v>204</v>
      </c>
      <c r="G8" s="53" t="s">
        <v>205</v>
      </c>
      <c r="H8" s="53" t="s">
        <v>206</v>
      </c>
      <c r="I8" s="53" t="s">
        <v>207</v>
      </c>
      <c r="J8" s="53" t="s">
        <v>208</v>
      </c>
      <c r="K8" s="53" t="s">
        <v>207</v>
      </c>
      <c r="L8" s="53" t="s">
        <v>206</v>
      </c>
      <c r="M8" s="53" t="s">
        <v>205</v>
      </c>
      <c r="N8" s="53" t="s">
        <v>204</v>
      </c>
      <c r="O8" s="53" t="s">
        <v>203</v>
      </c>
      <c r="P8" s="53" t="s">
        <v>202</v>
      </c>
      <c r="Q8" s="53" t="s">
        <v>201</v>
      </c>
      <c r="R8" s="53" t="s">
        <v>200</v>
      </c>
      <c r="S8" s="203" t="str">
        <f>'1a-Performance'!A9</f>
        <v>친환경성</v>
      </c>
    </row>
    <row r="9" spans="1:20" ht="17.100000000000001" customHeight="1">
      <c r="A9" s="202"/>
      <c r="B9" s="53" t="s">
        <v>200</v>
      </c>
      <c r="C9" s="53" t="s">
        <v>201</v>
      </c>
      <c r="D9" s="53" t="s">
        <v>202</v>
      </c>
      <c r="E9" s="53" t="s">
        <v>203</v>
      </c>
      <c r="F9" s="53" t="s">
        <v>204</v>
      </c>
      <c r="G9" s="53" t="s">
        <v>205</v>
      </c>
      <c r="H9" s="53" t="s">
        <v>206</v>
      </c>
      <c r="I9" s="53" t="s">
        <v>207</v>
      </c>
      <c r="J9" s="53" t="s">
        <v>208</v>
      </c>
      <c r="K9" s="53" t="s">
        <v>207</v>
      </c>
      <c r="L9" s="53" t="s">
        <v>206</v>
      </c>
      <c r="M9" s="53" t="s">
        <v>205</v>
      </c>
      <c r="N9" s="53" t="s">
        <v>204</v>
      </c>
      <c r="O9" s="53" t="s">
        <v>203</v>
      </c>
      <c r="P9" s="53" t="s">
        <v>202</v>
      </c>
      <c r="Q9" s="53" t="s">
        <v>201</v>
      </c>
      <c r="R9" s="53" t="s">
        <v>200</v>
      </c>
      <c r="S9" s="203" t="str">
        <f>'1a-Performance'!A10</f>
        <v>배수성</v>
      </c>
    </row>
    <row r="10" spans="1:20" ht="17.100000000000001" customHeight="1">
      <c r="A10" s="202"/>
      <c r="B10" s="53" t="s">
        <v>200</v>
      </c>
      <c r="C10" s="53" t="s">
        <v>201</v>
      </c>
      <c r="D10" s="53" t="s">
        <v>202</v>
      </c>
      <c r="E10" s="53" t="s">
        <v>203</v>
      </c>
      <c r="F10" s="53" t="s">
        <v>204</v>
      </c>
      <c r="G10" s="53" t="s">
        <v>205</v>
      </c>
      <c r="H10" s="53" t="s">
        <v>206</v>
      </c>
      <c r="I10" s="53" t="s">
        <v>207</v>
      </c>
      <c r="J10" s="53" t="s">
        <v>208</v>
      </c>
      <c r="K10" s="53" t="s">
        <v>207</v>
      </c>
      <c r="L10" s="53" t="s">
        <v>206</v>
      </c>
      <c r="M10" s="53" t="s">
        <v>205</v>
      </c>
      <c r="N10" s="53" t="s">
        <v>204</v>
      </c>
      <c r="O10" s="53" t="s">
        <v>203</v>
      </c>
      <c r="P10" s="53" t="s">
        <v>202</v>
      </c>
      <c r="Q10" s="53" t="s">
        <v>201</v>
      </c>
      <c r="R10" s="53" t="s">
        <v>200</v>
      </c>
      <c r="S10" s="203" t="str">
        <f>'1a-Performance'!A11</f>
        <v>교통안전성</v>
      </c>
    </row>
    <row r="11" spans="1:20" ht="16.5" customHeight="1" thickBot="1">
      <c r="A11" s="205"/>
      <c r="B11" s="185" t="s">
        <v>200</v>
      </c>
      <c r="C11" s="185" t="s">
        <v>201</v>
      </c>
      <c r="D11" s="185" t="s">
        <v>202</v>
      </c>
      <c r="E11" s="185" t="s">
        <v>203</v>
      </c>
      <c r="F11" s="185" t="s">
        <v>204</v>
      </c>
      <c r="G11" s="185" t="s">
        <v>205</v>
      </c>
      <c r="H11" s="185" t="s">
        <v>206</v>
      </c>
      <c r="I11" s="185" t="s">
        <v>207</v>
      </c>
      <c r="J11" s="185" t="s">
        <v>208</v>
      </c>
      <c r="K11" s="185" t="s">
        <v>207</v>
      </c>
      <c r="L11" s="185" t="s">
        <v>206</v>
      </c>
      <c r="M11" s="185" t="s">
        <v>205</v>
      </c>
      <c r="N11" s="185" t="s">
        <v>204</v>
      </c>
      <c r="O11" s="185" t="s">
        <v>203</v>
      </c>
      <c r="P11" s="185" t="s">
        <v>202</v>
      </c>
      <c r="Q11" s="185" t="s">
        <v>201</v>
      </c>
      <c r="R11" s="185" t="s">
        <v>200</v>
      </c>
      <c r="S11" s="207" t="str">
        <f>'1a-Performance'!A12</f>
        <v>민원성</v>
      </c>
    </row>
    <row r="12" spans="1:20" ht="16.5" customHeight="1">
      <c r="A12" s="201" t="str">
        <f>'1a-Performance'!A6</f>
        <v>유지관리성</v>
      </c>
      <c r="B12" s="181" t="s">
        <v>200</v>
      </c>
      <c r="C12" s="181" t="s">
        <v>201</v>
      </c>
      <c r="D12" s="181" t="s">
        <v>202</v>
      </c>
      <c r="E12" s="181" t="s">
        <v>203</v>
      </c>
      <c r="F12" s="181" t="s">
        <v>204</v>
      </c>
      <c r="G12" s="181" t="s">
        <v>205</v>
      </c>
      <c r="H12" s="181" t="s">
        <v>206</v>
      </c>
      <c r="I12" s="181" t="s">
        <v>207</v>
      </c>
      <c r="J12" s="181" t="s">
        <v>208</v>
      </c>
      <c r="K12" s="181" t="s">
        <v>207</v>
      </c>
      <c r="L12" s="181" t="s">
        <v>206</v>
      </c>
      <c r="M12" s="181" t="s">
        <v>205</v>
      </c>
      <c r="N12" s="181" t="s">
        <v>204</v>
      </c>
      <c r="O12" s="181" t="s">
        <v>203</v>
      </c>
      <c r="P12" s="181" t="s">
        <v>202</v>
      </c>
      <c r="Q12" s="181" t="s">
        <v>201</v>
      </c>
      <c r="R12" s="181" t="s">
        <v>200</v>
      </c>
      <c r="S12" s="170" t="str">
        <f>'1a-Performance'!A7</f>
        <v>내구성</v>
      </c>
    </row>
    <row r="13" spans="1:20" ht="16.5" customHeight="1">
      <c r="A13" s="202"/>
      <c r="B13" s="53" t="s">
        <v>200</v>
      </c>
      <c r="C13" s="53" t="s">
        <v>201</v>
      </c>
      <c r="D13" s="53" t="s">
        <v>202</v>
      </c>
      <c r="E13" s="53" t="s">
        <v>203</v>
      </c>
      <c r="F13" s="53" t="s">
        <v>204</v>
      </c>
      <c r="G13" s="53" t="s">
        <v>205</v>
      </c>
      <c r="H13" s="53" t="s">
        <v>206</v>
      </c>
      <c r="I13" s="53" t="s">
        <v>207</v>
      </c>
      <c r="J13" s="53" t="s">
        <v>208</v>
      </c>
      <c r="K13" s="53" t="s">
        <v>207</v>
      </c>
      <c r="L13" s="53" t="s">
        <v>206</v>
      </c>
      <c r="M13" s="53" t="s">
        <v>205</v>
      </c>
      <c r="N13" s="53" t="s">
        <v>204</v>
      </c>
      <c r="O13" s="53" t="s">
        <v>203</v>
      </c>
      <c r="P13" s="53" t="s">
        <v>202</v>
      </c>
      <c r="Q13" s="53" t="s">
        <v>201</v>
      </c>
      <c r="R13" s="53" t="s">
        <v>200</v>
      </c>
      <c r="S13" s="203" t="str">
        <f>'1a-Performance'!A8</f>
        <v>이용편의성</v>
      </c>
    </row>
    <row r="14" spans="1:20" ht="16.5" customHeight="1">
      <c r="A14" s="202"/>
      <c r="B14" s="53" t="s">
        <v>200</v>
      </c>
      <c r="C14" s="53" t="s">
        <v>201</v>
      </c>
      <c r="D14" s="53" t="s">
        <v>202</v>
      </c>
      <c r="E14" s="53" t="s">
        <v>203</v>
      </c>
      <c r="F14" s="53" t="s">
        <v>204</v>
      </c>
      <c r="G14" s="53" t="s">
        <v>205</v>
      </c>
      <c r="H14" s="53" t="s">
        <v>206</v>
      </c>
      <c r="I14" s="53" t="s">
        <v>207</v>
      </c>
      <c r="J14" s="53" t="s">
        <v>208</v>
      </c>
      <c r="K14" s="53" t="s">
        <v>207</v>
      </c>
      <c r="L14" s="53" t="s">
        <v>206</v>
      </c>
      <c r="M14" s="53" t="s">
        <v>205</v>
      </c>
      <c r="N14" s="53" t="s">
        <v>204</v>
      </c>
      <c r="O14" s="53" t="s">
        <v>203</v>
      </c>
      <c r="P14" s="53" t="s">
        <v>202</v>
      </c>
      <c r="Q14" s="53" t="s">
        <v>201</v>
      </c>
      <c r="R14" s="53" t="s">
        <v>200</v>
      </c>
      <c r="S14" s="203" t="str">
        <f>'1a-Performance'!A9</f>
        <v>친환경성</v>
      </c>
    </row>
    <row r="15" spans="1:20" ht="16.5" customHeight="1">
      <c r="A15" s="202"/>
      <c r="B15" s="53" t="s">
        <v>200</v>
      </c>
      <c r="C15" s="53" t="s">
        <v>201</v>
      </c>
      <c r="D15" s="53" t="s">
        <v>202</v>
      </c>
      <c r="E15" s="53" t="s">
        <v>203</v>
      </c>
      <c r="F15" s="53" t="s">
        <v>204</v>
      </c>
      <c r="G15" s="53" t="s">
        <v>205</v>
      </c>
      <c r="H15" s="53" t="s">
        <v>206</v>
      </c>
      <c r="I15" s="53" t="s">
        <v>207</v>
      </c>
      <c r="J15" s="53" t="s">
        <v>208</v>
      </c>
      <c r="K15" s="53" t="s">
        <v>207</v>
      </c>
      <c r="L15" s="53" t="s">
        <v>206</v>
      </c>
      <c r="M15" s="53" t="s">
        <v>205</v>
      </c>
      <c r="N15" s="53" t="s">
        <v>204</v>
      </c>
      <c r="O15" s="53" t="s">
        <v>203</v>
      </c>
      <c r="P15" s="53" t="s">
        <v>202</v>
      </c>
      <c r="Q15" s="53" t="s">
        <v>201</v>
      </c>
      <c r="R15" s="53" t="s">
        <v>200</v>
      </c>
      <c r="S15" s="203" t="str">
        <f>'1a-Performance'!A10</f>
        <v>배수성</v>
      </c>
    </row>
    <row r="16" spans="1:20" ht="16.5" customHeight="1">
      <c r="A16" s="208"/>
      <c r="B16" s="53" t="s">
        <v>200</v>
      </c>
      <c r="C16" s="53" t="s">
        <v>201</v>
      </c>
      <c r="D16" s="53" t="s">
        <v>202</v>
      </c>
      <c r="E16" s="53" t="s">
        <v>203</v>
      </c>
      <c r="F16" s="53" t="s">
        <v>204</v>
      </c>
      <c r="G16" s="53" t="s">
        <v>205</v>
      </c>
      <c r="H16" s="53" t="s">
        <v>206</v>
      </c>
      <c r="I16" s="53" t="s">
        <v>207</v>
      </c>
      <c r="J16" s="53" t="s">
        <v>208</v>
      </c>
      <c r="K16" s="53" t="s">
        <v>207</v>
      </c>
      <c r="L16" s="53" t="s">
        <v>206</v>
      </c>
      <c r="M16" s="53" t="s">
        <v>205</v>
      </c>
      <c r="N16" s="53" t="s">
        <v>204</v>
      </c>
      <c r="O16" s="53" t="s">
        <v>203</v>
      </c>
      <c r="P16" s="53" t="s">
        <v>202</v>
      </c>
      <c r="Q16" s="53" t="s">
        <v>201</v>
      </c>
      <c r="R16" s="53" t="s">
        <v>200</v>
      </c>
      <c r="S16" s="203" t="str">
        <f>'1a-Performance'!A11</f>
        <v>교통안전성</v>
      </c>
    </row>
    <row r="17" spans="1:19" ht="16.5" customHeight="1" thickBot="1">
      <c r="A17" s="209"/>
      <c r="B17" s="185" t="s">
        <v>200</v>
      </c>
      <c r="C17" s="185" t="s">
        <v>201</v>
      </c>
      <c r="D17" s="185" t="s">
        <v>202</v>
      </c>
      <c r="E17" s="185" t="s">
        <v>203</v>
      </c>
      <c r="F17" s="185" t="s">
        <v>204</v>
      </c>
      <c r="G17" s="185" t="s">
        <v>205</v>
      </c>
      <c r="H17" s="185" t="s">
        <v>206</v>
      </c>
      <c r="I17" s="185" t="s">
        <v>207</v>
      </c>
      <c r="J17" s="185" t="s">
        <v>208</v>
      </c>
      <c r="K17" s="185" t="s">
        <v>207</v>
      </c>
      <c r="L17" s="185" t="s">
        <v>206</v>
      </c>
      <c r="M17" s="185" t="s">
        <v>205</v>
      </c>
      <c r="N17" s="185" t="s">
        <v>204</v>
      </c>
      <c r="O17" s="185" t="s">
        <v>203</v>
      </c>
      <c r="P17" s="185" t="s">
        <v>202</v>
      </c>
      <c r="Q17" s="185" t="s">
        <v>201</v>
      </c>
      <c r="R17" s="185" t="s">
        <v>200</v>
      </c>
      <c r="S17" s="207" t="str">
        <f>'1a-Performance'!A12</f>
        <v>민원성</v>
      </c>
    </row>
    <row r="18" spans="1:19" ht="16.5" customHeight="1">
      <c r="A18" s="201" t="str">
        <f>'1a-Performance'!A7</f>
        <v>내구성</v>
      </c>
      <c r="B18" s="181" t="s">
        <v>200</v>
      </c>
      <c r="C18" s="181" t="s">
        <v>201</v>
      </c>
      <c r="D18" s="181" t="s">
        <v>202</v>
      </c>
      <c r="E18" s="181" t="s">
        <v>203</v>
      </c>
      <c r="F18" s="181" t="s">
        <v>204</v>
      </c>
      <c r="G18" s="181" t="s">
        <v>205</v>
      </c>
      <c r="H18" s="181" t="s">
        <v>206</v>
      </c>
      <c r="I18" s="181" t="s">
        <v>207</v>
      </c>
      <c r="J18" s="181" t="s">
        <v>208</v>
      </c>
      <c r="K18" s="181" t="s">
        <v>207</v>
      </c>
      <c r="L18" s="181" t="s">
        <v>206</v>
      </c>
      <c r="M18" s="181" t="s">
        <v>205</v>
      </c>
      <c r="N18" s="181" t="s">
        <v>204</v>
      </c>
      <c r="O18" s="181" t="s">
        <v>203</v>
      </c>
      <c r="P18" s="181" t="s">
        <v>202</v>
      </c>
      <c r="Q18" s="181" t="s">
        <v>201</v>
      </c>
      <c r="R18" s="181" t="s">
        <v>200</v>
      </c>
      <c r="S18" s="170" t="str">
        <f>'1a-Performance'!A8</f>
        <v>이용편의성</v>
      </c>
    </row>
    <row r="19" spans="1:19" ht="16.5" customHeight="1">
      <c r="A19" s="202"/>
      <c r="B19" s="53" t="s">
        <v>200</v>
      </c>
      <c r="C19" s="53" t="s">
        <v>201</v>
      </c>
      <c r="D19" s="53" t="s">
        <v>202</v>
      </c>
      <c r="E19" s="53" t="s">
        <v>203</v>
      </c>
      <c r="F19" s="53" t="s">
        <v>204</v>
      </c>
      <c r="G19" s="53" t="s">
        <v>205</v>
      </c>
      <c r="H19" s="53" t="s">
        <v>206</v>
      </c>
      <c r="I19" s="53" t="s">
        <v>207</v>
      </c>
      <c r="J19" s="53" t="s">
        <v>208</v>
      </c>
      <c r="K19" s="53" t="s">
        <v>207</v>
      </c>
      <c r="L19" s="53" t="s">
        <v>206</v>
      </c>
      <c r="M19" s="53" t="s">
        <v>205</v>
      </c>
      <c r="N19" s="53" t="s">
        <v>204</v>
      </c>
      <c r="O19" s="53" t="s">
        <v>203</v>
      </c>
      <c r="P19" s="53" t="s">
        <v>202</v>
      </c>
      <c r="Q19" s="53" t="s">
        <v>201</v>
      </c>
      <c r="R19" s="53" t="s">
        <v>200</v>
      </c>
      <c r="S19" s="203" t="str">
        <f>'1a-Performance'!A9</f>
        <v>친환경성</v>
      </c>
    </row>
    <row r="20" spans="1:19" ht="16.5" customHeight="1">
      <c r="A20" s="202"/>
      <c r="B20" s="53" t="s">
        <v>200</v>
      </c>
      <c r="C20" s="53" t="s">
        <v>201</v>
      </c>
      <c r="D20" s="53" t="s">
        <v>202</v>
      </c>
      <c r="E20" s="53" t="s">
        <v>203</v>
      </c>
      <c r="F20" s="53" t="s">
        <v>204</v>
      </c>
      <c r="G20" s="53" t="s">
        <v>205</v>
      </c>
      <c r="H20" s="53" t="s">
        <v>206</v>
      </c>
      <c r="I20" s="53" t="s">
        <v>207</v>
      </c>
      <c r="J20" s="53" t="s">
        <v>208</v>
      </c>
      <c r="K20" s="53" t="s">
        <v>207</v>
      </c>
      <c r="L20" s="53" t="s">
        <v>206</v>
      </c>
      <c r="M20" s="53" t="s">
        <v>205</v>
      </c>
      <c r="N20" s="53" t="s">
        <v>204</v>
      </c>
      <c r="O20" s="53" t="s">
        <v>203</v>
      </c>
      <c r="P20" s="53" t="s">
        <v>202</v>
      </c>
      <c r="Q20" s="53" t="s">
        <v>201</v>
      </c>
      <c r="R20" s="53" t="s">
        <v>200</v>
      </c>
      <c r="S20" s="203" t="str">
        <f>'1a-Performance'!A10</f>
        <v>배수성</v>
      </c>
    </row>
    <row r="21" spans="1:19" ht="16.5" customHeight="1">
      <c r="A21" s="202"/>
      <c r="B21" s="53" t="s">
        <v>200</v>
      </c>
      <c r="C21" s="53" t="s">
        <v>201</v>
      </c>
      <c r="D21" s="53" t="s">
        <v>202</v>
      </c>
      <c r="E21" s="53" t="s">
        <v>203</v>
      </c>
      <c r="F21" s="53" t="s">
        <v>204</v>
      </c>
      <c r="G21" s="53" t="s">
        <v>205</v>
      </c>
      <c r="H21" s="53" t="s">
        <v>206</v>
      </c>
      <c r="I21" s="53" t="s">
        <v>207</v>
      </c>
      <c r="J21" s="53" t="s">
        <v>208</v>
      </c>
      <c r="K21" s="53" t="s">
        <v>207</v>
      </c>
      <c r="L21" s="53" t="s">
        <v>206</v>
      </c>
      <c r="M21" s="53" t="s">
        <v>205</v>
      </c>
      <c r="N21" s="53" t="s">
        <v>204</v>
      </c>
      <c r="O21" s="53" t="s">
        <v>203</v>
      </c>
      <c r="P21" s="53" t="s">
        <v>202</v>
      </c>
      <c r="Q21" s="53" t="s">
        <v>201</v>
      </c>
      <c r="R21" s="53" t="s">
        <v>200</v>
      </c>
      <c r="S21" s="203" t="str">
        <f>'1a-Performance'!A11</f>
        <v>교통안전성</v>
      </c>
    </row>
    <row r="22" spans="1:19" ht="16.5" customHeight="1" thickBot="1">
      <c r="A22" s="205"/>
      <c r="B22" s="185" t="s">
        <v>200</v>
      </c>
      <c r="C22" s="185" t="s">
        <v>201</v>
      </c>
      <c r="D22" s="185" t="s">
        <v>202</v>
      </c>
      <c r="E22" s="185" t="s">
        <v>203</v>
      </c>
      <c r="F22" s="185" t="s">
        <v>204</v>
      </c>
      <c r="G22" s="185" t="s">
        <v>205</v>
      </c>
      <c r="H22" s="185" t="s">
        <v>206</v>
      </c>
      <c r="I22" s="185" t="s">
        <v>207</v>
      </c>
      <c r="J22" s="185" t="s">
        <v>208</v>
      </c>
      <c r="K22" s="185" t="s">
        <v>207</v>
      </c>
      <c r="L22" s="185" t="s">
        <v>206</v>
      </c>
      <c r="M22" s="185" t="s">
        <v>205</v>
      </c>
      <c r="N22" s="185" t="s">
        <v>204</v>
      </c>
      <c r="O22" s="185" t="s">
        <v>203</v>
      </c>
      <c r="P22" s="185" t="s">
        <v>202</v>
      </c>
      <c r="Q22" s="185" t="s">
        <v>201</v>
      </c>
      <c r="R22" s="185" t="s">
        <v>200</v>
      </c>
      <c r="S22" s="207" t="str">
        <f>'1a-Performance'!A12</f>
        <v>민원성</v>
      </c>
    </row>
    <row r="23" spans="1:19" ht="16.5" customHeight="1">
      <c r="A23" s="210" t="str">
        <f>'1a-Performance'!A8</f>
        <v>이용편의성</v>
      </c>
      <c r="B23" s="181" t="s">
        <v>200</v>
      </c>
      <c r="C23" s="181" t="s">
        <v>201</v>
      </c>
      <c r="D23" s="181" t="s">
        <v>202</v>
      </c>
      <c r="E23" s="181" t="s">
        <v>203</v>
      </c>
      <c r="F23" s="181" t="s">
        <v>204</v>
      </c>
      <c r="G23" s="181" t="s">
        <v>205</v>
      </c>
      <c r="H23" s="181" t="s">
        <v>206</v>
      </c>
      <c r="I23" s="181" t="s">
        <v>207</v>
      </c>
      <c r="J23" s="181" t="s">
        <v>208</v>
      </c>
      <c r="K23" s="181" t="s">
        <v>207</v>
      </c>
      <c r="L23" s="181" t="s">
        <v>206</v>
      </c>
      <c r="M23" s="181" t="s">
        <v>205</v>
      </c>
      <c r="N23" s="181" t="s">
        <v>204</v>
      </c>
      <c r="O23" s="181" t="s">
        <v>203</v>
      </c>
      <c r="P23" s="181" t="s">
        <v>202</v>
      </c>
      <c r="Q23" s="181" t="s">
        <v>201</v>
      </c>
      <c r="R23" s="181" t="s">
        <v>200</v>
      </c>
      <c r="S23" s="170" t="str">
        <f>'1a-Performance'!A9</f>
        <v>친환경성</v>
      </c>
    </row>
    <row r="24" spans="1:19" ht="16.5" customHeight="1">
      <c r="A24" s="211"/>
      <c r="B24" s="53" t="s">
        <v>200</v>
      </c>
      <c r="C24" s="53" t="s">
        <v>201</v>
      </c>
      <c r="D24" s="53" t="s">
        <v>202</v>
      </c>
      <c r="E24" s="53" t="s">
        <v>203</v>
      </c>
      <c r="F24" s="53" t="s">
        <v>204</v>
      </c>
      <c r="G24" s="53" t="s">
        <v>205</v>
      </c>
      <c r="H24" s="53" t="s">
        <v>206</v>
      </c>
      <c r="I24" s="53" t="s">
        <v>207</v>
      </c>
      <c r="J24" s="53" t="s">
        <v>208</v>
      </c>
      <c r="K24" s="53" t="s">
        <v>207</v>
      </c>
      <c r="L24" s="53" t="s">
        <v>206</v>
      </c>
      <c r="M24" s="53" t="s">
        <v>205</v>
      </c>
      <c r="N24" s="53" t="s">
        <v>204</v>
      </c>
      <c r="O24" s="53" t="s">
        <v>203</v>
      </c>
      <c r="P24" s="53" t="s">
        <v>202</v>
      </c>
      <c r="Q24" s="53" t="s">
        <v>201</v>
      </c>
      <c r="R24" s="53" t="s">
        <v>200</v>
      </c>
      <c r="S24" s="203" t="str">
        <f>'1a-Performance'!A10</f>
        <v>배수성</v>
      </c>
    </row>
    <row r="25" spans="1:19" ht="16.5" customHeight="1">
      <c r="A25" s="211"/>
      <c r="B25" s="53" t="s">
        <v>200</v>
      </c>
      <c r="C25" s="53" t="s">
        <v>201</v>
      </c>
      <c r="D25" s="53" t="s">
        <v>202</v>
      </c>
      <c r="E25" s="53" t="s">
        <v>203</v>
      </c>
      <c r="F25" s="53" t="s">
        <v>204</v>
      </c>
      <c r="G25" s="53" t="s">
        <v>205</v>
      </c>
      <c r="H25" s="53" t="s">
        <v>206</v>
      </c>
      <c r="I25" s="53" t="s">
        <v>207</v>
      </c>
      <c r="J25" s="53" t="s">
        <v>208</v>
      </c>
      <c r="K25" s="53" t="s">
        <v>207</v>
      </c>
      <c r="L25" s="53" t="s">
        <v>206</v>
      </c>
      <c r="M25" s="53" t="s">
        <v>205</v>
      </c>
      <c r="N25" s="53" t="s">
        <v>204</v>
      </c>
      <c r="O25" s="53" t="s">
        <v>203</v>
      </c>
      <c r="P25" s="53" t="s">
        <v>202</v>
      </c>
      <c r="Q25" s="53" t="s">
        <v>201</v>
      </c>
      <c r="R25" s="53" t="s">
        <v>200</v>
      </c>
      <c r="S25" s="203" t="str">
        <f>'1a-Performance'!A11</f>
        <v>교통안전성</v>
      </c>
    </row>
    <row r="26" spans="1:19" ht="16.5" customHeight="1" thickBot="1">
      <c r="A26" s="212"/>
      <c r="B26" s="185" t="s">
        <v>200</v>
      </c>
      <c r="C26" s="185" t="s">
        <v>201</v>
      </c>
      <c r="D26" s="185" t="s">
        <v>202</v>
      </c>
      <c r="E26" s="185" t="s">
        <v>203</v>
      </c>
      <c r="F26" s="185" t="s">
        <v>204</v>
      </c>
      <c r="G26" s="185" t="s">
        <v>205</v>
      </c>
      <c r="H26" s="185" t="s">
        <v>206</v>
      </c>
      <c r="I26" s="185" t="s">
        <v>207</v>
      </c>
      <c r="J26" s="185" t="s">
        <v>208</v>
      </c>
      <c r="K26" s="185" t="s">
        <v>207</v>
      </c>
      <c r="L26" s="185" t="s">
        <v>206</v>
      </c>
      <c r="M26" s="185" t="s">
        <v>205</v>
      </c>
      <c r="N26" s="185" t="s">
        <v>204</v>
      </c>
      <c r="O26" s="185" t="s">
        <v>203</v>
      </c>
      <c r="P26" s="185" t="s">
        <v>202</v>
      </c>
      <c r="Q26" s="185" t="s">
        <v>201</v>
      </c>
      <c r="R26" s="185" t="s">
        <v>200</v>
      </c>
      <c r="S26" s="207" t="str">
        <f>'1a-Performance'!A12</f>
        <v>민원성</v>
      </c>
    </row>
    <row r="27" spans="1:19" ht="16.5" customHeight="1">
      <c r="A27" s="201" t="str">
        <f>'1a-Performance'!A9</f>
        <v>친환경성</v>
      </c>
      <c r="B27" s="181" t="s">
        <v>200</v>
      </c>
      <c r="C27" s="181" t="s">
        <v>201</v>
      </c>
      <c r="D27" s="181" t="s">
        <v>202</v>
      </c>
      <c r="E27" s="181" t="s">
        <v>203</v>
      </c>
      <c r="F27" s="181" t="s">
        <v>204</v>
      </c>
      <c r="G27" s="181" t="s">
        <v>205</v>
      </c>
      <c r="H27" s="181" t="s">
        <v>206</v>
      </c>
      <c r="I27" s="181" t="s">
        <v>207</v>
      </c>
      <c r="J27" s="181" t="s">
        <v>208</v>
      </c>
      <c r="K27" s="181" t="s">
        <v>207</v>
      </c>
      <c r="L27" s="181" t="s">
        <v>206</v>
      </c>
      <c r="M27" s="181" t="s">
        <v>205</v>
      </c>
      <c r="N27" s="181" t="s">
        <v>204</v>
      </c>
      <c r="O27" s="181" t="s">
        <v>203</v>
      </c>
      <c r="P27" s="181" t="s">
        <v>202</v>
      </c>
      <c r="Q27" s="181" t="s">
        <v>201</v>
      </c>
      <c r="R27" s="181" t="s">
        <v>200</v>
      </c>
      <c r="S27" s="170" t="str">
        <f>'1a-Performance'!A10</f>
        <v>배수성</v>
      </c>
    </row>
    <row r="28" spans="1:19" ht="16.5" customHeight="1">
      <c r="A28" s="202"/>
      <c r="B28" s="53" t="s">
        <v>200</v>
      </c>
      <c r="C28" s="53" t="s">
        <v>201</v>
      </c>
      <c r="D28" s="53" t="s">
        <v>202</v>
      </c>
      <c r="E28" s="53" t="s">
        <v>203</v>
      </c>
      <c r="F28" s="53" t="s">
        <v>204</v>
      </c>
      <c r="G28" s="53" t="s">
        <v>205</v>
      </c>
      <c r="H28" s="53" t="s">
        <v>206</v>
      </c>
      <c r="I28" s="53" t="s">
        <v>207</v>
      </c>
      <c r="J28" s="53" t="s">
        <v>208</v>
      </c>
      <c r="K28" s="53" t="s">
        <v>207</v>
      </c>
      <c r="L28" s="53" t="s">
        <v>206</v>
      </c>
      <c r="M28" s="53" t="s">
        <v>205</v>
      </c>
      <c r="N28" s="53" t="s">
        <v>204</v>
      </c>
      <c r="O28" s="53" t="s">
        <v>203</v>
      </c>
      <c r="P28" s="53" t="s">
        <v>202</v>
      </c>
      <c r="Q28" s="53" t="s">
        <v>201</v>
      </c>
      <c r="R28" s="53" t="s">
        <v>200</v>
      </c>
      <c r="S28" s="203" t="str">
        <f>'1a-Performance'!A11</f>
        <v>교통안전성</v>
      </c>
    </row>
    <row r="29" spans="1:19" ht="16.5" customHeight="1" thickBot="1">
      <c r="A29" s="205"/>
      <c r="B29" s="185" t="s">
        <v>200</v>
      </c>
      <c r="C29" s="185" t="s">
        <v>201</v>
      </c>
      <c r="D29" s="185" t="s">
        <v>202</v>
      </c>
      <c r="E29" s="185" t="s">
        <v>203</v>
      </c>
      <c r="F29" s="185" t="s">
        <v>204</v>
      </c>
      <c r="G29" s="185" t="s">
        <v>205</v>
      </c>
      <c r="H29" s="185" t="s">
        <v>206</v>
      </c>
      <c r="I29" s="185" t="s">
        <v>207</v>
      </c>
      <c r="J29" s="185" t="s">
        <v>208</v>
      </c>
      <c r="K29" s="185" t="s">
        <v>207</v>
      </c>
      <c r="L29" s="185" t="s">
        <v>206</v>
      </c>
      <c r="M29" s="185" t="s">
        <v>205</v>
      </c>
      <c r="N29" s="185" t="s">
        <v>204</v>
      </c>
      <c r="O29" s="185" t="s">
        <v>203</v>
      </c>
      <c r="P29" s="185" t="s">
        <v>202</v>
      </c>
      <c r="Q29" s="185" t="s">
        <v>201</v>
      </c>
      <c r="R29" s="185" t="s">
        <v>200</v>
      </c>
      <c r="S29" s="207" t="str">
        <f>'1a-Performance'!A12</f>
        <v>민원성</v>
      </c>
    </row>
    <row r="30" spans="1:19" ht="16.5" customHeight="1">
      <c r="A30" s="201" t="str">
        <f>'1a-Performance'!A10</f>
        <v>배수성</v>
      </c>
      <c r="B30" s="230" t="s">
        <v>200</v>
      </c>
      <c r="C30" s="230" t="s">
        <v>201</v>
      </c>
      <c r="D30" s="230" t="s">
        <v>202</v>
      </c>
      <c r="E30" s="230" t="s">
        <v>203</v>
      </c>
      <c r="F30" s="230" t="s">
        <v>204</v>
      </c>
      <c r="G30" s="230" t="s">
        <v>205</v>
      </c>
      <c r="H30" s="230" t="s">
        <v>206</v>
      </c>
      <c r="I30" s="230" t="s">
        <v>207</v>
      </c>
      <c r="J30" s="230" t="s">
        <v>208</v>
      </c>
      <c r="K30" s="230" t="s">
        <v>207</v>
      </c>
      <c r="L30" s="230" t="s">
        <v>206</v>
      </c>
      <c r="M30" s="230" t="s">
        <v>205</v>
      </c>
      <c r="N30" s="230" t="s">
        <v>204</v>
      </c>
      <c r="O30" s="230" t="s">
        <v>203</v>
      </c>
      <c r="P30" s="230" t="s">
        <v>202</v>
      </c>
      <c r="Q30" s="230" t="s">
        <v>201</v>
      </c>
      <c r="R30" s="230" t="s">
        <v>200</v>
      </c>
      <c r="S30" s="170" t="str">
        <f>'1a-Performance'!A11</f>
        <v>교통안전성</v>
      </c>
    </row>
    <row r="31" spans="1:19" ht="16.5" customHeight="1" thickBot="1">
      <c r="A31" s="205"/>
      <c r="B31" s="185" t="s">
        <v>200</v>
      </c>
      <c r="C31" s="185" t="s">
        <v>201</v>
      </c>
      <c r="D31" s="185" t="s">
        <v>202</v>
      </c>
      <c r="E31" s="185" t="s">
        <v>203</v>
      </c>
      <c r="F31" s="185" t="s">
        <v>204</v>
      </c>
      <c r="G31" s="185" t="s">
        <v>205</v>
      </c>
      <c r="H31" s="185" t="s">
        <v>206</v>
      </c>
      <c r="I31" s="185" t="s">
        <v>207</v>
      </c>
      <c r="J31" s="185" t="s">
        <v>208</v>
      </c>
      <c r="K31" s="185" t="s">
        <v>207</v>
      </c>
      <c r="L31" s="185" t="s">
        <v>206</v>
      </c>
      <c r="M31" s="185" t="s">
        <v>205</v>
      </c>
      <c r="N31" s="185" t="s">
        <v>204</v>
      </c>
      <c r="O31" s="185" t="s">
        <v>203</v>
      </c>
      <c r="P31" s="185" t="s">
        <v>202</v>
      </c>
      <c r="Q31" s="185" t="s">
        <v>201</v>
      </c>
      <c r="R31" s="185" t="s">
        <v>200</v>
      </c>
      <c r="S31" s="207" t="str">
        <f>'1a-Performance'!A12</f>
        <v>민원성</v>
      </c>
    </row>
    <row r="32" spans="1:19" ht="16.5" customHeight="1" thickBot="1">
      <c r="A32" s="213" t="str">
        <f>'1a-Performance'!A11</f>
        <v>교통안전성</v>
      </c>
      <c r="B32" s="181" t="s">
        <v>200</v>
      </c>
      <c r="C32" s="181" t="s">
        <v>201</v>
      </c>
      <c r="D32" s="181" t="s">
        <v>202</v>
      </c>
      <c r="E32" s="181" t="s">
        <v>203</v>
      </c>
      <c r="F32" s="181" t="s">
        <v>204</v>
      </c>
      <c r="G32" s="181" t="s">
        <v>205</v>
      </c>
      <c r="H32" s="181" t="s">
        <v>206</v>
      </c>
      <c r="I32" s="181" t="s">
        <v>207</v>
      </c>
      <c r="J32" s="181" t="s">
        <v>208</v>
      </c>
      <c r="K32" s="181" t="s">
        <v>207</v>
      </c>
      <c r="L32" s="181" t="s">
        <v>206</v>
      </c>
      <c r="M32" s="181" t="s">
        <v>205</v>
      </c>
      <c r="N32" s="181" t="s">
        <v>204</v>
      </c>
      <c r="O32" s="181" t="s">
        <v>203</v>
      </c>
      <c r="P32" s="181" t="s">
        <v>202</v>
      </c>
      <c r="Q32" s="181" t="s">
        <v>201</v>
      </c>
      <c r="R32" s="181" t="s">
        <v>200</v>
      </c>
      <c r="S32" s="214" t="str">
        <f>'1a-Performance'!A12</f>
        <v>민원성</v>
      </c>
    </row>
    <row r="33" spans="1:19" ht="7.5" customHeight="1" thickBot="1">
      <c r="A33" s="215"/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5"/>
    </row>
    <row r="34" spans="1:19" ht="18.75" customHeight="1" thickBot="1">
      <c r="A34" s="217"/>
      <c r="B34" s="218"/>
      <c r="C34" s="218"/>
      <c r="D34" s="218"/>
      <c r="E34" s="218"/>
      <c r="F34" s="218"/>
      <c r="G34" s="219"/>
      <c r="H34" s="219"/>
      <c r="I34" s="220" t="str">
        <f>'1b-Sub-Performance'!B3</f>
        <v>시공성</v>
      </c>
      <c r="J34" s="219" t="s">
        <v>14</v>
      </c>
      <c r="K34" s="219" t="s">
        <v>15</v>
      </c>
      <c r="L34" s="219"/>
      <c r="M34" s="219"/>
      <c r="N34" s="218"/>
      <c r="O34" s="218"/>
      <c r="P34" s="218"/>
      <c r="Q34" s="218"/>
      <c r="R34" s="218"/>
      <c r="S34" s="221"/>
    </row>
    <row r="35" spans="1:19" ht="33.75" customHeight="1" thickBot="1">
      <c r="A35" s="231" t="s">
        <v>215</v>
      </c>
      <c r="B35" s="232" t="s">
        <v>216</v>
      </c>
      <c r="C35" s="233"/>
      <c r="D35" s="232" t="s">
        <v>217</v>
      </c>
      <c r="E35" s="233"/>
      <c r="F35" s="232" t="s">
        <v>218</v>
      </c>
      <c r="G35" s="233"/>
      <c r="H35" s="232" t="s">
        <v>219</v>
      </c>
      <c r="I35" s="233"/>
      <c r="J35" s="232" t="s">
        <v>220</v>
      </c>
      <c r="K35" s="233"/>
      <c r="L35" s="232" t="s">
        <v>219</v>
      </c>
      <c r="M35" s="233"/>
      <c r="N35" s="232" t="s">
        <v>218</v>
      </c>
      <c r="O35" s="233"/>
      <c r="P35" s="232" t="s">
        <v>217</v>
      </c>
      <c r="Q35" s="233"/>
      <c r="R35" s="232" t="s">
        <v>216</v>
      </c>
      <c r="S35" s="234" t="s">
        <v>215</v>
      </c>
    </row>
    <row r="36" spans="1:19" ht="17.100000000000001" customHeight="1">
      <c r="A36" s="201">
        <f>'1b-Sub-Performance'!A5</f>
        <v>0</v>
      </c>
      <c r="B36" s="169" t="s">
        <v>8</v>
      </c>
      <c r="C36" s="169" t="s">
        <v>7</v>
      </c>
      <c r="D36" s="169" t="s">
        <v>6</v>
      </c>
      <c r="E36" s="169" t="s">
        <v>5</v>
      </c>
      <c r="F36" s="169" t="s">
        <v>4</v>
      </c>
      <c r="G36" s="169" t="s">
        <v>3</v>
      </c>
      <c r="H36" s="169" t="s">
        <v>2</v>
      </c>
      <c r="I36" s="169" t="s">
        <v>1</v>
      </c>
      <c r="J36" s="169" t="s">
        <v>0</v>
      </c>
      <c r="K36" s="169" t="s">
        <v>1</v>
      </c>
      <c r="L36" s="169" t="s">
        <v>2</v>
      </c>
      <c r="M36" s="169" t="s">
        <v>3</v>
      </c>
      <c r="N36" s="169" t="s">
        <v>4</v>
      </c>
      <c r="O36" s="169" t="s">
        <v>5</v>
      </c>
      <c r="P36" s="169" t="s">
        <v>6</v>
      </c>
      <c r="Q36" s="169" t="s">
        <v>7</v>
      </c>
      <c r="R36" s="169" t="s">
        <v>8</v>
      </c>
      <c r="S36" s="170">
        <f>'1b-Sub-Performance'!A6</f>
        <v>0</v>
      </c>
    </row>
    <row r="37" spans="1:19" ht="16.5" customHeight="1">
      <c r="A37" s="202"/>
      <c r="B37" s="46" t="s">
        <v>8</v>
      </c>
      <c r="C37" s="46" t="s">
        <v>7</v>
      </c>
      <c r="D37" s="46" t="s">
        <v>6</v>
      </c>
      <c r="E37" s="46" t="s">
        <v>5</v>
      </c>
      <c r="F37" s="46" t="s">
        <v>4</v>
      </c>
      <c r="G37" s="46" t="s">
        <v>3</v>
      </c>
      <c r="H37" s="46" t="s">
        <v>2</v>
      </c>
      <c r="I37" s="46" t="s">
        <v>1</v>
      </c>
      <c r="J37" s="46" t="s">
        <v>0</v>
      </c>
      <c r="K37" s="46" t="s">
        <v>1</v>
      </c>
      <c r="L37" s="46" t="s">
        <v>2</v>
      </c>
      <c r="M37" s="46" t="s">
        <v>3</v>
      </c>
      <c r="N37" s="46" t="s">
        <v>4</v>
      </c>
      <c r="O37" s="46" t="s">
        <v>5</v>
      </c>
      <c r="P37" s="46" t="s">
        <v>6</v>
      </c>
      <c r="Q37" s="46" t="s">
        <v>7</v>
      </c>
      <c r="R37" s="46" t="s">
        <v>8</v>
      </c>
      <c r="S37" s="203">
        <f>'1b-Sub-Performance'!A7</f>
        <v>0</v>
      </c>
    </row>
    <row r="38" spans="1:19" ht="16.5" customHeight="1">
      <c r="A38" s="202"/>
      <c r="B38" s="46" t="s">
        <v>8</v>
      </c>
      <c r="C38" s="46" t="s">
        <v>7</v>
      </c>
      <c r="D38" s="46" t="s">
        <v>6</v>
      </c>
      <c r="E38" s="46" t="s">
        <v>5</v>
      </c>
      <c r="F38" s="46" t="s">
        <v>4</v>
      </c>
      <c r="G38" s="46" t="s">
        <v>3</v>
      </c>
      <c r="H38" s="46" t="s">
        <v>2</v>
      </c>
      <c r="I38" s="46" t="s">
        <v>1</v>
      </c>
      <c r="J38" s="46" t="s">
        <v>0</v>
      </c>
      <c r="K38" s="46" t="s">
        <v>1</v>
      </c>
      <c r="L38" s="46" t="s">
        <v>2</v>
      </c>
      <c r="M38" s="46" t="s">
        <v>3</v>
      </c>
      <c r="N38" s="46" t="s">
        <v>4</v>
      </c>
      <c r="O38" s="46" t="s">
        <v>5</v>
      </c>
      <c r="P38" s="46" t="s">
        <v>6</v>
      </c>
      <c r="Q38" s="46" t="s">
        <v>7</v>
      </c>
      <c r="R38" s="46" t="s">
        <v>8</v>
      </c>
      <c r="S38" s="203" t="e">
        <f>'1b-Sub-Performance'!#REF!</f>
        <v>#REF!</v>
      </c>
    </row>
    <row r="39" spans="1:19" ht="16.5" customHeight="1" thickBot="1">
      <c r="A39" s="205"/>
      <c r="B39" s="206" t="s">
        <v>8</v>
      </c>
      <c r="C39" s="206" t="s">
        <v>7</v>
      </c>
      <c r="D39" s="206" t="s">
        <v>6</v>
      </c>
      <c r="E39" s="206" t="s">
        <v>5</v>
      </c>
      <c r="F39" s="206" t="s">
        <v>4</v>
      </c>
      <c r="G39" s="206" t="s">
        <v>3</v>
      </c>
      <c r="H39" s="206" t="s">
        <v>2</v>
      </c>
      <c r="I39" s="206" t="s">
        <v>1</v>
      </c>
      <c r="J39" s="206" t="s">
        <v>0</v>
      </c>
      <c r="K39" s="206" t="s">
        <v>1</v>
      </c>
      <c r="L39" s="206" t="s">
        <v>2</v>
      </c>
      <c r="M39" s="206" t="s">
        <v>3</v>
      </c>
      <c r="N39" s="206" t="s">
        <v>4</v>
      </c>
      <c r="O39" s="206" t="s">
        <v>5</v>
      </c>
      <c r="P39" s="206" t="s">
        <v>6</v>
      </c>
      <c r="Q39" s="206" t="s">
        <v>7</v>
      </c>
      <c r="R39" s="206" t="s">
        <v>8</v>
      </c>
      <c r="S39" s="207">
        <f>'1b-Sub-Performance'!A8</f>
        <v>0</v>
      </c>
    </row>
    <row r="40" spans="1:19" ht="16.5" customHeight="1">
      <c r="A40" s="201">
        <f>'1b-Sub-Performance'!A6</f>
        <v>0</v>
      </c>
      <c r="B40" s="169" t="s">
        <v>8</v>
      </c>
      <c r="C40" s="169" t="s">
        <v>7</v>
      </c>
      <c r="D40" s="169" t="s">
        <v>6</v>
      </c>
      <c r="E40" s="169" t="s">
        <v>5</v>
      </c>
      <c r="F40" s="169" t="s">
        <v>4</v>
      </c>
      <c r="G40" s="169" t="s">
        <v>3</v>
      </c>
      <c r="H40" s="169" t="s">
        <v>2</v>
      </c>
      <c r="I40" s="169" t="s">
        <v>1</v>
      </c>
      <c r="J40" s="169" t="s">
        <v>0</v>
      </c>
      <c r="K40" s="169" t="s">
        <v>1</v>
      </c>
      <c r="L40" s="169" t="s">
        <v>2</v>
      </c>
      <c r="M40" s="169" t="s">
        <v>3</v>
      </c>
      <c r="N40" s="169" t="s">
        <v>4</v>
      </c>
      <c r="O40" s="169" t="s">
        <v>5</v>
      </c>
      <c r="P40" s="169" t="s">
        <v>6</v>
      </c>
      <c r="Q40" s="169" t="s">
        <v>7</v>
      </c>
      <c r="R40" s="169" t="s">
        <v>8</v>
      </c>
      <c r="S40" s="170">
        <f>'1b-Sub-Performance'!A7</f>
        <v>0</v>
      </c>
    </row>
    <row r="41" spans="1:19" ht="16.5" customHeight="1">
      <c r="A41" s="202"/>
      <c r="B41" s="46" t="s">
        <v>8</v>
      </c>
      <c r="C41" s="46" t="s">
        <v>7</v>
      </c>
      <c r="D41" s="46" t="s">
        <v>6</v>
      </c>
      <c r="E41" s="46" t="s">
        <v>5</v>
      </c>
      <c r="F41" s="46" t="s">
        <v>4</v>
      </c>
      <c r="G41" s="46" t="s">
        <v>3</v>
      </c>
      <c r="H41" s="46" t="s">
        <v>2</v>
      </c>
      <c r="I41" s="46" t="s">
        <v>1</v>
      </c>
      <c r="J41" s="46" t="s">
        <v>0</v>
      </c>
      <c r="K41" s="46" t="s">
        <v>1</v>
      </c>
      <c r="L41" s="46" t="s">
        <v>2</v>
      </c>
      <c r="M41" s="46" t="s">
        <v>3</v>
      </c>
      <c r="N41" s="46" t="s">
        <v>4</v>
      </c>
      <c r="O41" s="46" t="s">
        <v>5</v>
      </c>
      <c r="P41" s="46" t="s">
        <v>6</v>
      </c>
      <c r="Q41" s="46" t="s">
        <v>7</v>
      </c>
      <c r="R41" s="46" t="s">
        <v>8</v>
      </c>
      <c r="S41" s="203" t="e">
        <f>'1b-Sub-Performance'!#REF!</f>
        <v>#REF!</v>
      </c>
    </row>
    <row r="42" spans="1:19" ht="16.5" customHeight="1" thickBot="1">
      <c r="A42" s="205"/>
      <c r="B42" s="206" t="s">
        <v>8</v>
      </c>
      <c r="C42" s="206" t="s">
        <v>7</v>
      </c>
      <c r="D42" s="206" t="s">
        <v>6</v>
      </c>
      <c r="E42" s="206" t="s">
        <v>5</v>
      </c>
      <c r="F42" s="206" t="s">
        <v>4</v>
      </c>
      <c r="G42" s="206" t="s">
        <v>3</v>
      </c>
      <c r="H42" s="206" t="s">
        <v>2</v>
      </c>
      <c r="I42" s="206" t="s">
        <v>1</v>
      </c>
      <c r="J42" s="206" t="s">
        <v>0</v>
      </c>
      <c r="K42" s="206" t="s">
        <v>1</v>
      </c>
      <c r="L42" s="206" t="s">
        <v>2</v>
      </c>
      <c r="M42" s="206" t="s">
        <v>3</v>
      </c>
      <c r="N42" s="206" t="s">
        <v>4</v>
      </c>
      <c r="O42" s="206" t="s">
        <v>5</v>
      </c>
      <c r="P42" s="206" t="s">
        <v>6</v>
      </c>
      <c r="Q42" s="206" t="s">
        <v>7</v>
      </c>
      <c r="R42" s="206" t="s">
        <v>8</v>
      </c>
      <c r="S42" s="207">
        <f>'1b-Sub-Performance'!A8</f>
        <v>0</v>
      </c>
    </row>
    <row r="43" spans="1:19" ht="16.5" customHeight="1">
      <c r="A43" s="201">
        <f>'1b-Sub-Performance'!A7</f>
        <v>0</v>
      </c>
      <c r="B43" s="169" t="s">
        <v>8</v>
      </c>
      <c r="C43" s="169" t="s">
        <v>7</v>
      </c>
      <c r="D43" s="169" t="s">
        <v>6</v>
      </c>
      <c r="E43" s="169" t="s">
        <v>5</v>
      </c>
      <c r="F43" s="169" t="s">
        <v>4</v>
      </c>
      <c r="G43" s="169" t="s">
        <v>3</v>
      </c>
      <c r="H43" s="169" t="s">
        <v>2</v>
      </c>
      <c r="I43" s="169" t="s">
        <v>1</v>
      </c>
      <c r="J43" s="169" t="s">
        <v>0</v>
      </c>
      <c r="K43" s="169" t="s">
        <v>1</v>
      </c>
      <c r="L43" s="169" t="s">
        <v>2</v>
      </c>
      <c r="M43" s="169" t="s">
        <v>3</v>
      </c>
      <c r="N43" s="169" t="s">
        <v>4</v>
      </c>
      <c r="O43" s="169" t="s">
        <v>5</v>
      </c>
      <c r="P43" s="169" t="s">
        <v>6</v>
      </c>
      <c r="Q43" s="169" t="s">
        <v>7</v>
      </c>
      <c r="R43" s="169" t="s">
        <v>8</v>
      </c>
      <c r="S43" s="170" t="e">
        <f>'1b-Sub-Performance'!#REF!</f>
        <v>#REF!</v>
      </c>
    </row>
    <row r="44" spans="1:19" ht="16.5" customHeight="1" thickBot="1">
      <c r="A44" s="205"/>
      <c r="B44" s="206" t="s">
        <v>8</v>
      </c>
      <c r="C44" s="206" t="s">
        <v>7</v>
      </c>
      <c r="D44" s="206" t="s">
        <v>6</v>
      </c>
      <c r="E44" s="206" t="s">
        <v>5</v>
      </c>
      <c r="F44" s="206" t="s">
        <v>4</v>
      </c>
      <c r="G44" s="206" t="s">
        <v>3</v>
      </c>
      <c r="H44" s="206" t="s">
        <v>2</v>
      </c>
      <c r="I44" s="206" t="s">
        <v>1</v>
      </c>
      <c r="J44" s="206" t="s">
        <v>0</v>
      </c>
      <c r="K44" s="206" t="s">
        <v>1</v>
      </c>
      <c r="L44" s="206" t="s">
        <v>2</v>
      </c>
      <c r="M44" s="206" t="s">
        <v>3</v>
      </c>
      <c r="N44" s="206" t="s">
        <v>4</v>
      </c>
      <c r="O44" s="206" t="s">
        <v>5</v>
      </c>
      <c r="P44" s="206" t="s">
        <v>6</v>
      </c>
      <c r="Q44" s="206" t="s">
        <v>7</v>
      </c>
      <c r="R44" s="206" t="s">
        <v>8</v>
      </c>
      <c r="S44" s="207">
        <f>'1b-Sub-Performance'!A8</f>
        <v>0</v>
      </c>
    </row>
    <row r="45" spans="1:19" ht="16.5" customHeight="1" thickBot="1">
      <c r="A45" s="213" t="e">
        <f>'1b-Sub-Performance'!#REF!</f>
        <v>#REF!</v>
      </c>
      <c r="B45" s="222" t="s">
        <v>8</v>
      </c>
      <c r="C45" s="222" t="s">
        <v>7</v>
      </c>
      <c r="D45" s="222" t="s">
        <v>6</v>
      </c>
      <c r="E45" s="222" t="s">
        <v>5</v>
      </c>
      <c r="F45" s="222" t="s">
        <v>4</v>
      </c>
      <c r="G45" s="222" t="s">
        <v>3</v>
      </c>
      <c r="H45" s="222" t="s">
        <v>2</v>
      </c>
      <c r="I45" s="222" t="s">
        <v>1</v>
      </c>
      <c r="J45" s="222" t="s">
        <v>0</v>
      </c>
      <c r="K45" s="222" t="s">
        <v>1</v>
      </c>
      <c r="L45" s="222" t="s">
        <v>2</v>
      </c>
      <c r="M45" s="222" t="s">
        <v>3</v>
      </c>
      <c r="N45" s="222" t="s">
        <v>4</v>
      </c>
      <c r="O45" s="222" t="s">
        <v>5</v>
      </c>
      <c r="P45" s="222" t="s">
        <v>6</v>
      </c>
      <c r="Q45" s="222" t="s">
        <v>7</v>
      </c>
      <c r="R45" s="222" t="s">
        <v>8</v>
      </c>
      <c r="S45" s="214">
        <f>'1b-Sub-Performance'!A8</f>
        <v>0</v>
      </c>
    </row>
    <row r="46" spans="1:19" ht="7.5" customHeight="1" thickBot="1">
      <c r="A46" s="215"/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5"/>
    </row>
    <row r="47" spans="1:19" ht="18.75" customHeight="1" thickBot="1">
      <c r="A47" s="217"/>
      <c r="B47" s="218"/>
      <c r="C47" s="218"/>
      <c r="D47" s="218"/>
      <c r="E47" s="218"/>
      <c r="F47" s="218"/>
      <c r="G47" s="219"/>
      <c r="H47" s="219"/>
      <c r="I47" s="220" t="str">
        <f>'1b-Sub-Performance'!B9</f>
        <v>유지관리성</v>
      </c>
      <c r="J47" s="219" t="s">
        <v>14</v>
      </c>
      <c r="K47" s="219" t="s">
        <v>15</v>
      </c>
      <c r="L47" s="219"/>
      <c r="M47" s="219"/>
      <c r="N47" s="218"/>
      <c r="O47" s="218"/>
      <c r="P47" s="218"/>
      <c r="Q47" s="218"/>
      <c r="R47" s="218"/>
      <c r="S47" s="221"/>
    </row>
    <row r="48" spans="1:19" ht="33.75" customHeight="1" thickBot="1">
      <c r="A48" s="231" t="s">
        <v>221</v>
      </c>
      <c r="B48" s="232" t="s">
        <v>222</v>
      </c>
      <c r="C48" s="233"/>
      <c r="D48" s="232" t="s">
        <v>223</v>
      </c>
      <c r="E48" s="233"/>
      <c r="F48" s="232" t="s">
        <v>224</v>
      </c>
      <c r="G48" s="233"/>
      <c r="H48" s="232" t="s">
        <v>225</v>
      </c>
      <c r="I48" s="233"/>
      <c r="J48" s="232" t="s">
        <v>226</v>
      </c>
      <c r="K48" s="233"/>
      <c r="L48" s="232" t="s">
        <v>225</v>
      </c>
      <c r="M48" s="233"/>
      <c r="N48" s="232" t="s">
        <v>224</v>
      </c>
      <c r="O48" s="233"/>
      <c r="P48" s="232" t="s">
        <v>223</v>
      </c>
      <c r="Q48" s="233"/>
      <c r="R48" s="232" t="s">
        <v>222</v>
      </c>
      <c r="S48" s="234" t="s">
        <v>221</v>
      </c>
    </row>
    <row r="49" spans="1:19" ht="17.100000000000001" customHeight="1">
      <c r="A49" s="201">
        <f>'1b-Sub-Performance'!A11</f>
        <v>0</v>
      </c>
      <c r="B49" s="169" t="s">
        <v>8</v>
      </c>
      <c r="C49" s="169" t="s">
        <v>7</v>
      </c>
      <c r="D49" s="169" t="s">
        <v>6</v>
      </c>
      <c r="E49" s="169" t="s">
        <v>5</v>
      </c>
      <c r="F49" s="169" t="s">
        <v>4</v>
      </c>
      <c r="G49" s="169" t="s">
        <v>3</v>
      </c>
      <c r="H49" s="169" t="s">
        <v>2</v>
      </c>
      <c r="I49" s="169" t="s">
        <v>1</v>
      </c>
      <c r="J49" s="169" t="s">
        <v>0</v>
      </c>
      <c r="K49" s="169" t="s">
        <v>1</v>
      </c>
      <c r="L49" s="169" t="s">
        <v>2</v>
      </c>
      <c r="M49" s="169" t="s">
        <v>3</v>
      </c>
      <c r="N49" s="169" t="s">
        <v>4</v>
      </c>
      <c r="O49" s="169" t="s">
        <v>5</v>
      </c>
      <c r="P49" s="169" t="s">
        <v>6</v>
      </c>
      <c r="Q49" s="169" t="s">
        <v>7</v>
      </c>
      <c r="R49" s="169" t="s">
        <v>8</v>
      </c>
      <c r="S49" s="170">
        <f>'1b-Sub-Performance'!A12</f>
        <v>0</v>
      </c>
    </row>
    <row r="50" spans="1:19" ht="16.5" customHeight="1">
      <c r="A50" s="202"/>
      <c r="B50" s="46" t="s">
        <v>8</v>
      </c>
      <c r="C50" s="46" t="s">
        <v>7</v>
      </c>
      <c r="D50" s="46" t="s">
        <v>6</v>
      </c>
      <c r="E50" s="46" t="s">
        <v>5</v>
      </c>
      <c r="F50" s="46" t="s">
        <v>4</v>
      </c>
      <c r="G50" s="46" t="s">
        <v>3</v>
      </c>
      <c r="H50" s="46" t="s">
        <v>2</v>
      </c>
      <c r="I50" s="46" t="s">
        <v>1</v>
      </c>
      <c r="J50" s="46" t="s">
        <v>0</v>
      </c>
      <c r="K50" s="46" t="s">
        <v>1</v>
      </c>
      <c r="L50" s="46" t="s">
        <v>2</v>
      </c>
      <c r="M50" s="46" t="s">
        <v>3</v>
      </c>
      <c r="N50" s="46" t="s">
        <v>4</v>
      </c>
      <c r="O50" s="46" t="s">
        <v>5</v>
      </c>
      <c r="P50" s="46" t="s">
        <v>6</v>
      </c>
      <c r="Q50" s="46" t="s">
        <v>7</v>
      </c>
      <c r="R50" s="46" t="s">
        <v>8</v>
      </c>
      <c r="S50" s="203" t="e">
        <f>'1b-Sub-Performance'!#REF!</f>
        <v>#REF!</v>
      </c>
    </row>
    <row r="51" spans="1:19" ht="16.5" customHeight="1">
      <c r="A51" s="202"/>
      <c r="B51" s="46" t="s">
        <v>8</v>
      </c>
      <c r="C51" s="46" t="s">
        <v>7</v>
      </c>
      <c r="D51" s="46" t="s">
        <v>6</v>
      </c>
      <c r="E51" s="46" t="s">
        <v>5</v>
      </c>
      <c r="F51" s="46" t="s">
        <v>4</v>
      </c>
      <c r="G51" s="46" t="s">
        <v>3</v>
      </c>
      <c r="H51" s="46" t="s">
        <v>2</v>
      </c>
      <c r="I51" s="46" t="s">
        <v>1</v>
      </c>
      <c r="J51" s="46" t="s">
        <v>0</v>
      </c>
      <c r="K51" s="46" t="s">
        <v>1</v>
      </c>
      <c r="L51" s="46" t="s">
        <v>2</v>
      </c>
      <c r="M51" s="46" t="s">
        <v>3</v>
      </c>
      <c r="N51" s="46" t="s">
        <v>4</v>
      </c>
      <c r="O51" s="46" t="s">
        <v>5</v>
      </c>
      <c r="P51" s="46" t="s">
        <v>6</v>
      </c>
      <c r="Q51" s="46" t="s">
        <v>7</v>
      </c>
      <c r="R51" s="46" t="s">
        <v>8</v>
      </c>
      <c r="S51" s="203">
        <f>'1b-Sub-Performance'!A13</f>
        <v>0</v>
      </c>
    </row>
    <row r="52" spans="1:19" ht="16.5" customHeight="1" thickBot="1">
      <c r="A52" s="205"/>
      <c r="B52" s="206" t="s">
        <v>8</v>
      </c>
      <c r="C52" s="206" t="s">
        <v>7</v>
      </c>
      <c r="D52" s="206" t="s">
        <v>6</v>
      </c>
      <c r="E52" s="206" t="s">
        <v>5</v>
      </c>
      <c r="F52" s="206" t="s">
        <v>4</v>
      </c>
      <c r="G52" s="206" t="s">
        <v>3</v>
      </c>
      <c r="H52" s="206" t="s">
        <v>2</v>
      </c>
      <c r="I52" s="206" t="s">
        <v>1</v>
      </c>
      <c r="J52" s="206" t="s">
        <v>0</v>
      </c>
      <c r="K52" s="206" t="s">
        <v>1</v>
      </c>
      <c r="L52" s="206" t="s">
        <v>2</v>
      </c>
      <c r="M52" s="206" t="s">
        <v>3</v>
      </c>
      <c r="N52" s="206" t="s">
        <v>4</v>
      </c>
      <c r="O52" s="206" t="s">
        <v>5</v>
      </c>
      <c r="P52" s="206" t="s">
        <v>6</v>
      </c>
      <c r="Q52" s="206" t="s">
        <v>7</v>
      </c>
      <c r="R52" s="206" t="s">
        <v>8</v>
      </c>
      <c r="S52" s="207">
        <f>'1b-Sub-Performance'!A14</f>
        <v>0</v>
      </c>
    </row>
    <row r="53" spans="1:19" ht="16.5" customHeight="1">
      <c r="A53" s="201">
        <f>'1b-Sub-Performance'!A12</f>
        <v>0</v>
      </c>
      <c r="B53" s="169" t="s">
        <v>8</v>
      </c>
      <c r="C53" s="169" t="s">
        <v>7</v>
      </c>
      <c r="D53" s="169" t="s">
        <v>6</v>
      </c>
      <c r="E53" s="169" t="s">
        <v>5</v>
      </c>
      <c r="F53" s="169" t="s">
        <v>4</v>
      </c>
      <c r="G53" s="169" t="s">
        <v>3</v>
      </c>
      <c r="H53" s="169" t="s">
        <v>2</v>
      </c>
      <c r="I53" s="169" t="s">
        <v>1</v>
      </c>
      <c r="J53" s="169" t="s">
        <v>0</v>
      </c>
      <c r="K53" s="169" t="s">
        <v>1</v>
      </c>
      <c r="L53" s="169" t="s">
        <v>2</v>
      </c>
      <c r="M53" s="169" t="s">
        <v>3</v>
      </c>
      <c r="N53" s="169" t="s">
        <v>4</v>
      </c>
      <c r="O53" s="169" t="s">
        <v>5</v>
      </c>
      <c r="P53" s="169" t="s">
        <v>6</v>
      </c>
      <c r="Q53" s="169" t="s">
        <v>7</v>
      </c>
      <c r="R53" s="169" t="s">
        <v>8</v>
      </c>
      <c r="S53" s="170" t="e">
        <f>'1b-Sub-Performance'!#REF!</f>
        <v>#REF!</v>
      </c>
    </row>
    <row r="54" spans="1:19" ht="16.5" customHeight="1">
      <c r="A54" s="202"/>
      <c r="B54" s="46" t="s">
        <v>8</v>
      </c>
      <c r="C54" s="46" t="s">
        <v>7</v>
      </c>
      <c r="D54" s="46" t="s">
        <v>6</v>
      </c>
      <c r="E54" s="46" t="s">
        <v>5</v>
      </c>
      <c r="F54" s="46" t="s">
        <v>4</v>
      </c>
      <c r="G54" s="46" t="s">
        <v>3</v>
      </c>
      <c r="H54" s="46" t="s">
        <v>2</v>
      </c>
      <c r="I54" s="46" t="s">
        <v>1</v>
      </c>
      <c r="J54" s="46" t="s">
        <v>0</v>
      </c>
      <c r="K54" s="46" t="s">
        <v>1</v>
      </c>
      <c r="L54" s="46" t="s">
        <v>2</v>
      </c>
      <c r="M54" s="46" t="s">
        <v>3</v>
      </c>
      <c r="N54" s="46" t="s">
        <v>4</v>
      </c>
      <c r="O54" s="46" t="s">
        <v>5</v>
      </c>
      <c r="P54" s="46" t="s">
        <v>6</v>
      </c>
      <c r="Q54" s="46" t="s">
        <v>7</v>
      </c>
      <c r="R54" s="46" t="s">
        <v>8</v>
      </c>
      <c r="S54" s="203">
        <f>'1b-Sub-Performance'!A13</f>
        <v>0</v>
      </c>
    </row>
    <row r="55" spans="1:19" ht="16.5" customHeight="1" thickBot="1">
      <c r="A55" s="205"/>
      <c r="B55" s="206" t="s">
        <v>8</v>
      </c>
      <c r="C55" s="206" t="s">
        <v>7</v>
      </c>
      <c r="D55" s="206" t="s">
        <v>6</v>
      </c>
      <c r="E55" s="206" t="s">
        <v>5</v>
      </c>
      <c r="F55" s="206" t="s">
        <v>4</v>
      </c>
      <c r="G55" s="206" t="s">
        <v>3</v>
      </c>
      <c r="H55" s="206" t="s">
        <v>2</v>
      </c>
      <c r="I55" s="206" t="s">
        <v>1</v>
      </c>
      <c r="J55" s="206" t="s">
        <v>0</v>
      </c>
      <c r="K55" s="206" t="s">
        <v>1</v>
      </c>
      <c r="L55" s="206" t="s">
        <v>2</v>
      </c>
      <c r="M55" s="206" t="s">
        <v>3</v>
      </c>
      <c r="N55" s="206" t="s">
        <v>4</v>
      </c>
      <c r="O55" s="206" t="s">
        <v>5</v>
      </c>
      <c r="P55" s="206" t="s">
        <v>6</v>
      </c>
      <c r="Q55" s="206" t="s">
        <v>7</v>
      </c>
      <c r="R55" s="206" t="s">
        <v>8</v>
      </c>
      <c r="S55" s="207">
        <f>'1b-Sub-Performance'!A14</f>
        <v>0</v>
      </c>
    </row>
    <row r="56" spans="1:19" ht="16.5" customHeight="1">
      <c r="A56" s="201" t="e">
        <f>'1b-Sub-Performance'!#REF!</f>
        <v>#REF!</v>
      </c>
      <c r="B56" s="169" t="s">
        <v>8</v>
      </c>
      <c r="C56" s="169" t="s">
        <v>7</v>
      </c>
      <c r="D56" s="169" t="s">
        <v>6</v>
      </c>
      <c r="E56" s="169" t="s">
        <v>5</v>
      </c>
      <c r="F56" s="169" t="s">
        <v>4</v>
      </c>
      <c r="G56" s="169" t="s">
        <v>3</v>
      </c>
      <c r="H56" s="169" t="s">
        <v>2</v>
      </c>
      <c r="I56" s="169" t="s">
        <v>1</v>
      </c>
      <c r="J56" s="169" t="s">
        <v>0</v>
      </c>
      <c r="K56" s="169" t="s">
        <v>1</v>
      </c>
      <c r="L56" s="169" t="s">
        <v>2</v>
      </c>
      <c r="M56" s="169" t="s">
        <v>3</v>
      </c>
      <c r="N56" s="169" t="s">
        <v>4</v>
      </c>
      <c r="O56" s="169" t="s">
        <v>5</v>
      </c>
      <c r="P56" s="169" t="s">
        <v>6</v>
      </c>
      <c r="Q56" s="169" t="s">
        <v>7</v>
      </c>
      <c r="R56" s="169" t="s">
        <v>8</v>
      </c>
      <c r="S56" s="170">
        <f>'1b-Sub-Performance'!A13</f>
        <v>0</v>
      </c>
    </row>
    <row r="57" spans="1:19" ht="16.5" customHeight="1" thickBot="1">
      <c r="A57" s="205"/>
      <c r="B57" s="206" t="s">
        <v>8</v>
      </c>
      <c r="C57" s="206" t="s">
        <v>7</v>
      </c>
      <c r="D57" s="206" t="s">
        <v>6</v>
      </c>
      <c r="E57" s="206" t="s">
        <v>5</v>
      </c>
      <c r="F57" s="206" t="s">
        <v>4</v>
      </c>
      <c r="G57" s="206" t="s">
        <v>3</v>
      </c>
      <c r="H57" s="206" t="s">
        <v>2</v>
      </c>
      <c r="I57" s="206" t="s">
        <v>1</v>
      </c>
      <c r="J57" s="206" t="s">
        <v>0</v>
      </c>
      <c r="K57" s="206" t="s">
        <v>1</v>
      </c>
      <c r="L57" s="206" t="s">
        <v>2</v>
      </c>
      <c r="M57" s="206" t="s">
        <v>3</v>
      </c>
      <c r="N57" s="206" t="s">
        <v>4</v>
      </c>
      <c r="O57" s="206" t="s">
        <v>5</v>
      </c>
      <c r="P57" s="206" t="s">
        <v>6</v>
      </c>
      <c r="Q57" s="206" t="s">
        <v>7</v>
      </c>
      <c r="R57" s="206" t="s">
        <v>8</v>
      </c>
      <c r="S57" s="207">
        <f>'1b-Sub-Performance'!A14</f>
        <v>0</v>
      </c>
    </row>
    <row r="58" spans="1:19" ht="16.5" customHeight="1" thickBot="1">
      <c r="A58" s="213">
        <f>'1b-Sub-Performance'!A13</f>
        <v>0</v>
      </c>
      <c r="B58" s="222" t="s">
        <v>8</v>
      </c>
      <c r="C58" s="222" t="s">
        <v>7</v>
      </c>
      <c r="D58" s="222" t="s">
        <v>6</v>
      </c>
      <c r="E58" s="222" t="s">
        <v>5</v>
      </c>
      <c r="F58" s="222" t="s">
        <v>4</v>
      </c>
      <c r="G58" s="222" t="s">
        <v>3</v>
      </c>
      <c r="H58" s="222" t="s">
        <v>2</v>
      </c>
      <c r="I58" s="222" t="s">
        <v>1</v>
      </c>
      <c r="J58" s="222" t="s">
        <v>0</v>
      </c>
      <c r="K58" s="222" t="s">
        <v>1</v>
      </c>
      <c r="L58" s="222" t="s">
        <v>2</v>
      </c>
      <c r="M58" s="222" t="s">
        <v>3</v>
      </c>
      <c r="N58" s="222" t="s">
        <v>4</v>
      </c>
      <c r="O58" s="222" t="s">
        <v>5</v>
      </c>
      <c r="P58" s="222" t="s">
        <v>6</v>
      </c>
      <c r="Q58" s="222" t="s">
        <v>7</v>
      </c>
      <c r="R58" s="222" t="s">
        <v>8</v>
      </c>
      <c r="S58" s="214">
        <f>'1b-Sub-Performance'!A14</f>
        <v>0</v>
      </c>
    </row>
    <row r="59" spans="1:19" ht="7.5" customHeight="1" thickBot="1">
      <c r="A59" s="215"/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5"/>
    </row>
    <row r="60" spans="1:19" ht="18.75" customHeight="1" thickBot="1">
      <c r="A60" s="217"/>
      <c r="B60" s="218"/>
      <c r="C60" s="218"/>
      <c r="D60" s="218"/>
      <c r="E60" s="218"/>
      <c r="F60" s="218"/>
      <c r="G60" s="219"/>
      <c r="H60" s="219"/>
      <c r="I60" s="220" t="str">
        <f>'1b-Sub-Performance'!B15</f>
        <v>내구성</v>
      </c>
      <c r="J60" s="219" t="s">
        <v>14</v>
      </c>
      <c r="K60" s="219" t="s">
        <v>15</v>
      </c>
      <c r="L60" s="219"/>
      <c r="M60" s="219"/>
      <c r="N60" s="218"/>
      <c r="O60" s="218"/>
      <c r="P60" s="218"/>
      <c r="Q60" s="218"/>
      <c r="R60" s="218"/>
      <c r="S60" s="221"/>
    </row>
    <row r="61" spans="1:19" ht="33.75" customHeight="1" thickBot="1">
      <c r="A61" s="231" t="s">
        <v>221</v>
      </c>
      <c r="B61" s="232" t="s">
        <v>222</v>
      </c>
      <c r="C61" s="233"/>
      <c r="D61" s="232" t="s">
        <v>223</v>
      </c>
      <c r="E61" s="233"/>
      <c r="F61" s="232" t="s">
        <v>224</v>
      </c>
      <c r="G61" s="233"/>
      <c r="H61" s="232" t="s">
        <v>225</v>
      </c>
      <c r="I61" s="233"/>
      <c r="J61" s="232" t="s">
        <v>226</v>
      </c>
      <c r="K61" s="233"/>
      <c r="L61" s="232" t="s">
        <v>225</v>
      </c>
      <c r="M61" s="233"/>
      <c r="N61" s="232" t="s">
        <v>224</v>
      </c>
      <c r="O61" s="233"/>
      <c r="P61" s="232" t="s">
        <v>223</v>
      </c>
      <c r="Q61" s="233"/>
      <c r="R61" s="232" t="s">
        <v>222</v>
      </c>
      <c r="S61" s="234" t="s">
        <v>221</v>
      </c>
    </row>
    <row r="62" spans="1:19" ht="17.100000000000001" customHeight="1">
      <c r="A62" s="201">
        <f>'1b-Sub-Performance'!A17</f>
        <v>0</v>
      </c>
      <c r="B62" s="169" t="s">
        <v>8</v>
      </c>
      <c r="C62" s="169" t="s">
        <v>7</v>
      </c>
      <c r="D62" s="169" t="s">
        <v>6</v>
      </c>
      <c r="E62" s="169" t="s">
        <v>5</v>
      </c>
      <c r="F62" s="169" t="s">
        <v>4</v>
      </c>
      <c r="G62" s="169" t="s">
        <v>3</v>
      </c>
      <c r="H62" s="169" t="s">
        <v>2</v>
      </c>
      <c r="I62" s="169" t="s">
        <v>1</v>
      </c>
      <c r="J62" s="169" t="s">
        <v>0</v>
      </c>
      <c r="K62" s="169" t="s">
        <v>1</v>
      </c>
      <c r="L62" s="169" t="s">
        <v>2</v>
      </c>
      <c r="M62" s="169" t="s">
        <v>3</v>
      </c>
      <c r="N62" s="169" t="s">
        <v>4</v>
      </c>
      <c r="O62" s="169" t="s">
        <v>5</v>
      </c>
      <c r="P62" s="169" t="s">
        <v>6</v>
      </c>
      <c r="Q62" s="169" t="s">
        <v>7</v>
      </c>
      <c r="R62" s="169" t="s">
        <v>8</v>
      </c>
      <c r="S62" s="170">
        <f>'1b-Sub-Performance'!A18</f>
        <v>0</v>
      </c>
    </row>
    <row r="63" spans="1:19" ht="16.5" customHeight="1">
      <c r="A63" s="202"/>
      <c r="B63" s="46" t="s">
        <v>8</v>
      </c>
      <c r="C63" s="46" t="s">
        <v>7</v>
      </c>
      <c r="D63" s="46" t="s">
        <v>6</v>
      </c>
      <c r="E63" s="46" t="s">
        <v>5</v>
      </c>
      <c r="F63" s="46" t="s">
        <v>4</v>
      </c>
      <c r="G63" s="46" t="s">
        <v>3</v>
      </c>
      <c r="H63" s="46" t="s">
        <v>2</v>
      </c>
      <c r="I63" s="46" t="s">
        <v>1</v>
      </c>
      <c r="J63" s="46" t="s">
        <v>0</v>
      </c>
      <c r="K63" s="46" t="s">
        <v>1</v>
      </c>
      <c r="L63" s="46" t="s">
        <v>2</v>
      </c>
      <c r="M63" s="46" t="s">
        <v>3</v>
      </c>
      <c r="N63" s="46" t="s">
        <v>4</v>
      </c>
      <c r="O63" s="46" t="s">
        <v>5</v>
      </c>
      <c r="P63" s="46" t="s">
        <v>6</v>
      </c>
      <c r="Q63" s="46" t="s">
        <v>7</v>
      </c>
      <c r="R63" s="46" t="s">
        <v>8</v>
      </c>
      <c r="S63" s="203" t="e">
        <f>'1b-Sub-Performance'!#REF!</f>
        <v>#REF!</v>
      </c>
    </row>
    <row r="64" spans="1:19" ht="16.5" customHeight="1">
      <c r="A64" s="202"/>
      <c r="B64" s="46" t="s">
        <v>8</v>
      </c>
      <c r="C64" s="46" t="s">
        <v>7</v>
      </c>
      <c r="D64" s="46" t="s">
        <v>6</v>
      </c>
      <c r="E64" s="46" t="s">
        <v>5</v>
      </c>
      <c r="F64" s="46" t="s">
        <v>4</v>
      </c>
      <c r="G64" s="46" t="s">
        <v>3</v>
      </c>
      <c r="H64" s="46" t="s">
        <v>2</v>
      </c>
      <c r="I64" s="46" t="s">
        <v>1</v>
      </c>
      <c r="J64" s="46" t="s">
        <v>0</v>
      </c>
      <c r="K64" s="46" t="s">
        <v>1</v>
      </c>
      <c r="L64" s="46" t="s">
        <v>2</v>
      </c>
      <c r="M64" s="46" t="s">
        <v>3</v>
      </c>
      <c r="N64" s="46" t="s">
        <v>4</v>
      </c>
      <c r="O64" s="46" t="s">
        <v>5</v>
      </c>
      <c r="P64" s="46" t="s">
        <v>6</v>
      </c>
      <c r="Q64" s="46" t="s">
        <v>7</v>
      </c>
      <c r="R64" s="46" t="s">
        <v>8</v>
      </c>
      <c r="S64" s="203">
        <f>'1b-Sub-Performance'!A19</f>
        <v>0</v>
      </c>
    </row>
    <row r="65" spans="1:19" ht="16.5" customHeight="1" thickBot="1">
      <c r="A65" s="205"/>
      <c r="B65" s="206" t="s">
        <v>8</v>
      </c>
      <c r="C65" s="206" t="s">
        <v>7</v>
      </c>
      <c r="D65" s="206" t="s">
        <v>6</v>
      </c>
      <c r="E65" s="206" t="s">
        <v>5</v>
      </c>
      <c r="F65" s="206" t="s">
        <v>4</v>
      </c>
      <c r="G65" s="206" t="s">
        <v>3</v>
      </c>
      <c r="H65" s="206" t="s">
        <v>2</v>
      </c>
      <c r="I65" s="206" t="s">
        <v>1</v>
      </c>
      <c r="J65" s="206" t="s">
        <v>0</v>
      </c>
      <c r="K65" s="206" t="s">
        <v>1</v>
      </c>
      <c r="L65" s="206" t="s">
        <v>2</v>
      </c>
      <c r="M65" s="206" t="s">
        <v>3</v>
      </c>
      <c r="N65" s="206" t="s">
        <v>4</v>
      </c>
      <c r="O65" s="206" t="s">
        <v>5</v>
      </c>
      <c r="P65" s="206" t="s">
        <v>6</v>
      </c>
      <c r="Q65" s="206" t="s">
        <v>7</v>
      </c>
      <c r="R65" s="206" t="s">
        <v>8</v>
      </c>
      <c r="S65" s="207">
        <f>'1b-Sub-Performance'!A20</f>
        <v>0</v>
      </c>
    </row>
    <row r="66" spans="1:19" ht="16.5" customHeight="1">
      <c r="A66" s="201">
        <f>'1b-Sub-Performance'!A18</f>
        <v>0</v>
      </c>
      <c r="B66" s="169" t="s">
        <v>8</v>
      </c>
      <c r="C66" s="169" t="s">
        <v>7</v>
      </c>
      <c r="D66" s="169" t="s">
        <v>6</v>
      </c>
      <c r="E66" s="169" t="s">
        <v>5</v>
      </c>
      <c r="F66" s="169" t="s">
        <v>4</v>
      </c>
      <c r="G66" s="169" t="s">
        <v>3</v>
      </c>
      <c r="H66" s="169" t="s">
        <v>2</v>
      </c>
      <c r="I66" s="169" t="s">
        <v>1</v>
      </c>
      <c r="J66" s="169" t="s">
        <v>0</v>
      </c>
      <c r="K66" s="169" t="s">
        <v>1</v>
      </c>
      <c r="L66" s="169" t="s">
        <v>2</v>
      </c>
      <c r="M66" s="169" t="s">
        <v>3</v>
      </c>
      <c r="N66" s="169" t="s">
        <v>4</v>
      </c>
      <c r="O66" s="169" t="s">
        <v>5</v>
      </c>
      <c r="P66" s="169" t="s">
        <v>6</v>
      </c>
      <c r="Q66" s="169" t="s">
        <v>7</v>
      </c>
      <c r="R66" s="169" t="s">
        <v>8</v>
      </c>
      <c r="S66" s="170" t="e">
        <f>'1b-Sub-Performance'!#REF!</f>
        <v>#REF!</v>
      </c>
    </row>
    <row r="67" spans="1:19" ht="16.5" customHeight="1">
      <c r="A67" s="202"/>
      <c r="B67" s="46" t="s">
        <v>8</v>
      </c>
      <c r="C67" s="46" t="s">
        <v>7</v>
      </c>
      <c r="D67" s="46" t="s">
        <v>6</v>
      </c>
      <c r="E67" s="46" t="s">
        <v>5</v>
      </c>
      <c r="F67" s="46" t="s">
        <v>4</v>
      </c>
      <c r="G67" s="46" t="s">
        <v>3</v>
      </c>
      <c r="H67" s="46" t="s">
        <v>2</v>
      </c>
      <c r="I67" s="46" t="s">
        <v>1</v>
      </c>
      <c r="J67" s="46" t="s">
        <v>0</v>
      </c>
      <c r="K67" s="46" t="s">
        <v>1</v>
      </c>
      <c r="L67" s="46" t="s">
        <v>2</v>
      </c>
      <c r="M67" s="46" t="s">
        <v>3</v>
      </c>
      <c r="N67" s="46" t="s">
        <v>4</v>
      </c>
      <c r="O67" s="46" t="s">
        <v>5</v>
      </c>
      <c r="P67" s="46" t="s">
        <v>6</v>
      </c>
      <c r="Q67" s="46" t="s">
        <v>7</v>
      </c>
      <c r="R67" s="46" t="s">
        <v>8</v>
      </c>
      <c r="S67" s="203">
        <f>'1b-Sub-Performance'!A19</f>
        <v>0</v>
      </c>
    </row>
    <row r="68" spans="1:19" ht="16.5" customHeight="1" thickBot="1">
      <c r="A68" s="205"/>
      <c r="B68" s="206" t="s">
        <v>8</v>
      </c>
      <c r="C68" s="206" t="s">
        <v>7</v>
      </c>
      <c r="D68" s="206" t="s">
        <v>6</v>
      </c>
      <c r="E68" s="206" t="s">
        <v>5</v>
      </c>
      <c r="F68" s="206" t="s">
        <v>4</v>
      </c>
      <c r="G68" s="206" t="s">
        <v>3</v>
      </c>
      <c r="H68" s="206" t="s">
        <v>2</v>
      </c>
      <c r="I68" s="206" t="s">
        <v>1</v>
      </c>
      <c r="J68" s="206" t="s">
        <v>0</v>
      </c>
      <c r="K68" s="206" t="s">
        <v>1</v>
      </c>
      <c r="L68" s="206" t="s">
        <v>2</v>
      </c>
      <c r="M68" s="206" t="s">
        <v>3</v>
      </c>
      <c r="N68" s="206" t="s">
        <v>4</v>
      </c>
      <c r="O68" s="206" t="s">
        <v>5</v>
      </c>
      <c r="P68" s="206" t="s">
        <v>6</v>
      </c>
      <c r="Q68" s="206" t="s">
        <v>7</v>
      </c>
      <c r="R68" s="206" t="s">
        <v>8</v>
      </c>
      <c r="S68" s="207">
        <f>'1b-Sub-Performance'!A20</f>
        <v>0</v>
      </c>
    </row>
    <row r="69" spans="1:19" ht="16.5" customHeight="1">
      <c r="A69" s="201" t="e">
        <f>'1b-Sub-Performance'!#REF!</f>
        <v>#REF!</v>
      </c>
      <c r="B69" s="169" t="s">
        <v>8</v>
      </c>
      <c r="C69" s="169" t="s">
        <v>7</v>
      </c>
      <c r="D69" s="169" t="s">
        <v>6</v>
      </c>
      <c r="E69" s="169" t="s">
        <v>5</v>
      </c>
      <c r="F69" s="169" t="s">
        <v>4</v>
      </c>
      <c r="G69" s="169" t="s">
        <v>3</v>
      </c>
      <c r="H69" s="169" t="s">
        <v>2</v>
      </c>
      <c r="I69" s="169" t="s">
        <v>1</v>
      </c>
      <c r="J69" s="169" t="s">
        <v>0</v>
      </c>
      <c r="K69" s="169" t="s">
        <v>1</v>
      </c>
      <c r="L69" s="169" t="s">
        <v>2</v>
      </c>
      <c r="M69" s="169" t="s">
        <v>3</v>
      </c>
      <c r="N69" s="169" t="s">
        <v>4</v>
      </c>
      <c r="O69" s="169" t="s">
        <v>5</v>
      </c>
      <c r="P69" s="169" t="s">
        <v>6</v>
      </c>
      <c r="Q69" s="169" t="s">
        <v>7</v>
      </c>
      <c r="R69" s="169" t="s">
        <v>8</v>
      </c>
      <c r="S69" s="170">
        <f>'1b-Sub-Performance'!A19</f>
        <v>0</v>
      </c>
    </row>
    <row r="70" spans="1:19" ht="16.5" customHeight="1" thickBot="1">
      <c r="A70" s="205"/>
      <c r="B70" s="206" t="s">
        <v>8</v>
      </c>
      <c r="C70" s="206" t="s">
        <v>7</v>
      </c>
      <c r="D70" s="206" t="s">
        <v>6</v>
      </c>
      <c r="E70" s="206" t="s">
        <v>5</v>
      </c>
      <c r="F70" s="206" t="s">
        <v>4</v>
      </c>
      <c r="G70" s="206" t="s">
        <v>3</v>
      </c>
      <c r="H70" s="206" t="s">
        <v>2</v>
      </c>
      <c r="I70" s="206" t="s">
        <v>1</v>
      </c>
      <c r="J70" s="206" t="s">
        <v>0</v>
      </c>
      <c r="K70" s="206" t="s">
        <v>1</v>
      </c>
      <c r="L70" s="206" t="s">
        <v>2</v>
      </c>
      <c r="M70" s="206" t="s">
        <v>3</v>
      </c>
      <c r="N70" s="206" t="s">
        <v>4</v>
      </c>
      <c r="O70" s="206" t="s">
        <v>5</v>
      </c>
      <c r="P70" s="206" t="s">
        <v>6</v>
      </c>
      <c r="Q70" s="206" t="s">
        <v>7</v>
      </c>
      <c r="R70" s="206" t="s">
        <v>8</v>
      </c>
      <c r="S70" s="207">
        <f>'1b-Sub-Performance'!A20</f>
        <v>0</v>
      </c>
    </row>
    <row r="71" spans="1:19" ht="16.5" customHeight="1" thickBot="1">
      <c r="A71" s="213">
        <f>'1b-Sub-Performance'!A19</f>
        <v>0</v>
      </c>
      <c r="B71" s="222" t="s">
        <v>8</v>
      </c>
      <c r="C71" s="222" t="s">
        <v>7</v>
      </c>
      <c r="D71" s="222" t="s">
        <v>6</v>
      </c>
      <c r="E71" s="222" t="s">
        <v>5</v>
      </c>
      <c r="F71" s="222" t="s">
        <v>4</v>
      </c>
      <c r="G71" s="222" t="s">
        <v>3</v>
      </c>
      <c r="H71" s="222" t="s">
        <v>2</v>
      </c>
      <c r="I71" s="222" t="s">
        <v>1</v>
      </c>
      <c r="J71" s="222" t="s">
        <v>0</v>
      </c>
      <c r="K71" s="222" t="s">
        <v>1</v>
      </c>
      <c r="L71" s="222" t="s">
        <v>2</v>
      </c>
      <c r="M71" s="222" t="s">
        <v>3</v>
      </c>
      <c r="N71" s="222" t="s">
        <v>4</v>
      </c>
      <c r="O71" s="222" t="s">
        <v>5</v>
      </c>
      <c r="P71" s="222" t="s">
        <v>6</v>
      </c>
      <c r="Q71" s="222" t="s">
        <v>7</v>
      </c>
      <c r="R71" s="222" t="s">
        <v>8</v>
      </c>
      <c r="S71" s="214">
        <f>'1b-Sub-Performance'!A20</f>
        <v>0</v>
      </c>
    </row>
    <row r="72" spans="1:19" ht="7.5" customHeight="1" thickBot="1">
      <c r="A72" s="215"/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5"/>
    </row>
    <row r="73" spans="1:19" ht="18.75" customHeight="1" thickBot="1">
      <c r="A73" s="217"/>
      <c r="B73" s="218"/>
      <c r="C73" s="218"/>
      <c r="D73" s="218"/>
      <c r="E73" s="218"/>
      <c r="F73" s="218"/>
      <c r="G73" s="219"/>
      <c r="H73" s="219"/>
      <c r="I73" s="220" t="str">
        <f>'1b-Sub-Performance'!B21</f>
        <v>이용편의성</v>
      </c>
      <c r="J73" s="219" t="s">
        <v>14</v>
      </c>
      <c r="K73" s="219" t="s">
        <v>15</v>
      </c>
      <c r="L73" s="219"/>
      <c r="M73" s="219"/>
      <c r="N73" s="218"/>
      <c r="O73" s="218"/>
      <c r="P73" s="218"/>
      <c r="Q73" s="218"/>
      <c r="R73" s="218"/>
      <c r="S73" s="221"/>
    </row>
    <row r="74" spans="1:19" ht="33.75" customHeight="1" thickBot="1">
      <c r="A74" s="231" t="s">
        <v>221</v>
      </c>
      <c r="B74" s="232" t="s">
        <v>222</v>
      </c>
      <c r="C74" s="233"/>
      <c r="D74" s="232" t="s">
        <v>223</v>
      </c>
      <c r="E74" s="233"/>
      <c r="F74" s="232" t="s">
        <v>224</v>
      </c>
      <c r="G74" s="233"/>
      <c r="H74" s="232" t="s">
        <v>225</v>
      </c>
      <c r="I74" s="233"/>
      <c r="J74" s="232" t="s">
        <v>226</v>
      </c>
      <c r="K74" s="233"/>
      <c r="L74" s="232" t="s">
        <v>225</v>
      </c>
      <c r="M74" s="233"/>
      <c r="N74" s="232" t="s">
        <v>224</v>
      </c>
      <c r="O74" s="233"/>
      <c r="P74" s="232" t="s">
        <v>223</v>
      </c>
      <c r="Q74" s="233"/>
      <c r="R74" s="232" t="s">
        <v>222</v>
      </c>
      <c r="S74" s="234" t="s">
        <v>221</v>
      </c>
    </row>
    <row r="75" spans="1:19" ht="17.100000000000001" customHeight="1">
      <c r="A75" s="201">
        <f>'1b-Sub-Performance'!A23</f>
        <v>0</v>
      </c>
      <c r="B75" s="169" t="s">
        <v>8</v>
      </c>
      <c r="C75" s="169" t="s">
        <v>7</v>
      </c>
      <c r="D75" s="169" t="s">
        <v>6</v>
      </c>
      <c r="E75" s="169" t="s">
        <v>5</v>
      </c>
      <c r="F75" s="169" t="s">
        <v>4</v>
      </c>
      <c r="G75" s="169" t="s">
        <v>3</v>
      </c>
      <c r="H75" s="169" t="s">
        <v>2</v>
      </c>
      <c r="I75" s="169" t="s">
        <v>1</v>
      </c>
      <c r="J75" s="169" t="s">
        <v>0</v>
      </c>
      <c r="K75" s="169" t="s">
        <v>1</v>
      </c>
      <c r="L75" s="169" t="s">
        <v>2</v>
      </c>
      <c r="M75" s="169" t="s">
        <v>3</v>
      </c>
      <c r="N75" s="169" t="s">
        <v>4</v>
      </c>
      <c r="O75" s="169" t="s">
        <v>5</v>
      </c>
      <c r="P75" s="169" t="s">
        <v>6</v>
      </c>
      <c r="Q75" s="169" t="s">
        <v>7</v>
      </c>
      <c r="R75" s="169" t="s">
        <v>8</v>
      </c>
      <c r="S75" s="170">
        <f>'1b-Sub-Performance'!A24</f>
        <v>0</v>
      </c>
    </row>
    <row r="76" spans="1:19" ht="16.5" customHeight="1">
      <c r="A76" s="202"/>
      <c r="B76" s="46" t="s">
        <v>8</v>
      </c>
      <c r="C76" s="46" t="s">
        <v>7</v>
      </c>
      <c r="D76" s="46" t="s">
        <v>6</v>
      </c>
      <c r="E76" s="46" t="s">
        <v>5</v>
      </c>
      <c r="F76" s="46" t="s">
        <v>4</v>
      </c>
      <c r="G76" s="46" t="s">
        <v>3</v>
      </c>
      <c r="H76" s="46" t="s">
        <v>2</v>
      </c>
      <c r="I76" s="46" t="s">
        <v>1</v>
      </c>
      <c r="J76" s="46" t="s">
        <v>0</v>
      </c>
      <c r="K76" s="46" t="s">
        <v>1</v>
      </c>
      <c r="L76" s="46" t="s">
        <v>2</v>
      </c>
      <c r="M76" s="46" t="s">
        <v>3</v>
      </c>
      <c r="N76" s="46" t="s">
        <v>4</v>
      </c>
      <c r="O76" s="46" t="s">
        <v>5</v>
      </c>
      <c r="P76" s="46" t="s">
        <v>6</v>
      </c>
      <c r="Q76" s="46" t="s">
        <v>7</v>
      </c>
      <c r="R76" s="46" t="s">
        <v>8</v>
      </c>
      <c r="S76" s="203">
        <f>'1b-Sub-Performance'!A25</f>
        <v>0</v>
      </c>
    </row>
    <row r="77" spans="1:19" ht="16.5" customHeight="1">
      <c r="A77" s="202"/>
      <c r="B77" s="46" t="s">
        <v>8</v>
      </c>
      <c r="C77" s="46" t="s">
        <v>7</v>
      </c>
      <c r="D77" s="46" t="s">
        <v>6</v>
      </c>
      <c r="E77" s="46" t="s">
        <v>5</v>
      </c>
      <c r="F77" s="46" t="s">
        <v>4</v>
      </c>
      <c r="G77" s="46" t="s">
        <v>3</v>
      </c>
      <c r="H77" s="46" t="s">
        <v>2</v>
      </c>
      <c r="I77" s="46" t="s">
        <v>1</v>
      </c>
      <c r="J77" s="46" t="s">
        <v>0</v>
      </c>
      <c r="K77" s="46" t="s">
        <v>1</v>
      </c>
      <c r="L77" s="46" t="s">
        <v>2</v>
      </c>
      <c r="M77" s="46" t="s">
        <v>3</v>
      </c>
      <c r="N77" s="46" t="s">
        <v>4</v>
      </c>
      <c r="O77" s="46" t="s">
        <v>5</v>
      </c>
      <c r="P77" s="46" t="s">
        <v>6</v>
      </c>
      <c r="Q77" s="46" t="s">
        <v>7</v>
      </c>
      <c r="R77" s="46" t="s">
        <v>8</v>
      </c>
      <c r="S77" s="203" t="e">
        <f>'1b-Sub-Performance'!#REF!</f>
        <v>#REF!</v>
      </c>
    </row>
    <row r="78" spans="1:19" ht="16.5" customHeight="1" thickBot="1">
      <c r="A78" s="205"/>
      <c r="B78" s="206" t="s">
        <v>8</v>
      </c>
      <c r="C78" s="206" t="s">
        <v>7</v>
      </c>
      <c r="D78" s="206" t="s">
        <v>6</v>
      </c>
      <c r="E78" s="206" t="s">
        <v>5</v>
      </c>
      <c r="F78" s="206" t="s">
        <v>4</v>
      </c>
      <c r="G78" s="206" t="s">
        <v>3</v>
      </c>
      <c r="H78" s="206" t="s">
        <v>2</v>
      </c>
      <c r="I78" s="206" t="s">
        <v>1</v>
      </c>
      <c r="J78" s="206" t="s">
        <v>0</v>
      </c>
      <c r="K78" s="206" t="s">
        <v>1</v>
      </c>
      <c r="L78" s="206" t="s">
        <v>2</v>
      </c>
      <c r="M78" s="206" t="s">
        <v>3</v>
      </c>
      <c r="N78" s="206" t="s">
        <v>4</v>
      </c>
      <c r="O78" s="206" t="s">
        <v>5</v>
      </c>
      <c r="P78" s="206" t="s">
        <v>6</v>
      </c>
      <c r="Q78" s="206" t="s">
        <v>7</v>
      </c>
      <c r="R78" s="206" t="s">
        <v>8</v>
      </c>
      <c r="S78" s="207">
        <f>'1b-Sub-Performance'!A26</f>
        <v>0</v>
      </c>
    </row>
    <row r="79" spans="1:19" ht="16.5" customHeight="1">
      <c r="A79" s="201">
        <f>'1b-Sub-Performance'!A24</f>
        <v>0</v>
      </c>
      <c r="B79" s="169" t="s">
        <v>8</v>
      </c>
      <c r="C79" s="169" t="s">
        <v>7</v>
      </c>
      <c r="D79" s="169" t="s">
        <v>6</v>
      </c>
      <c r="E79" s="169" t="s">
        <v>5</v>
      </c>
      <c r="F79" s="169" t="s">
        <v>4</v>
      </c>
      <c r="G79" s="169" t="s">
        <v>3</v>
      </c>
      <c r="H79" s="169" t="s">
        <v>2</v>
      </c>
      <c r="I79" s="169" t="s">
        <v>1</v>
      </c>
      <c r="J79" s="169" t="s">
        <v>0</v>
      </c>
      <c r="K79" s="169" t="s">
        <v>1</v>
      </c>
      <c r="L79" s="169" t="s">
        <v>2</v>
      </c>
      <c r="M79" s="169" t="s">
        <v>3</v>
      </c>
      <c r="N79" s="169" t="s">
        <v>4</v>
      </c>
      <c r="O79" s="169" t="s">
        <v>5</v>
      </c>
      <c r="P79" s="169" t="s">
        <v>6</v>
      </c>
      <c r="Q79" s="169" t="s">
        <v>7</v>
      </c>
      <c r="R79" s="169" t="s">
        <v>8</v>
      </c>
      <c r="S79" s="170">
        <f>'1b-Sub-Performance'!A25</f>
        <v>0</v>
      </c>
    </row>
    <row r="80" spans="1:19" ht="16.5" customHeight="1">
      <c r="A80" s="202"/>
      <c r="B80" s="46" t="s">
        <v>8</v>
      </c>
      <c r="C80" s="46" t="s">
        <v>7</v>
      </c>
      <c r="D80" s="46" t="s">
        <v>6</v>
      </c>
      <c r="E80" s="46" t="s">
        <v>5</v>
      </c>
      <c r="F80" s="46" t="s">
        <v>4</v>
      </c>
      <c r="G80" s="46" t="s">
        <v>3</v>
      </c>
      <c r="H80" s="46" t="s">
        <v>2</v>
      </c>
      <c r="I80" s="46" t="s">
        <v>1</v>
      </c>
      <c r="J80" s="46" t="s">
        <v>0</v>
      </c>
      <c r="K80" s="46" t="s">
        <v>1</v>
      </c>
      <c r="L80" s="46" t="s">
        <v>2</v>
      </c>
      <c r="M80" s="46" t="s">
        <v>3</v>
      </c>
      <c r="N80" s="46" t="s">
        <v>4</v>
      </c>
      <c r="O80" s="46" t="s">
        <v>5</v>
      </c>
      <c r="P80" s="46" t="s">
        <v>6</v>
      </c>
      <c r="Q80" s="46" t="s">
        <v>7</v>
      </c>
      <c r="R80" s="46" t="s">
        <v>8</v>
      </c>
      <c r="S80" s="203" t="e">
        <f>'1b-Sub-Performance'!#REF!</f>
        <v>#REF!</v>
      </c>
    </row>
    <row r="81" spans="1:19" ht="16.5" customHeight="1" thickBot="1">
      <c r="A81" s="205"/>
      <c r="B81" s="206" t="s">
        <v>8</v>
      </c>
      <c r="C81" s="206" t="s">
        <v>7</v>
      </c>
      <c r="D81" s="206" t="s">
        <v>6</v>
      </c>
      <c r="E81" s="206" t="s">
        <v>5</v>
      </c>
      <c r="F81" s="206" t="s">
        <v>4</v>
      </c>
      <c r="G81" s="206" t="s">
        <v>3</v>
      </c>
      <c r="H81" s="206" t="s">
        <v>2</v>
      </c>
      <c r="I81" s="206" t="s">
        <v>1</v>
      </c>
      <c r="J81" s="206" t="s">
        <v>0</v>
      </c>
      <c r="K81" s="206" t="s">
        <v>1</v>
      </c>
      <c r="L81" s="206" t="s">
        <v>2</v>
      </c>
      <c r="M81" s="206" t="s">
        <v>3</v>
      </c>
      <c r="N81" s="206" t="s">
        <v>4</v>
      </c>
      <c r="O81" s="206" t="s">
        <v>5</v>
      </c>
      <c r="P81" s="206" t="s">
        <v>6</v>
      </c>
      <c r="Q81" s="206" t="s">
        <v>7</v>
      </c>
      <c r="R81" s="206" t="s">
        <v>8</v>
      </c>
      <c r="S81" s="207">
        <f>'1b-Sub-Performance'!A26</f>
        <v>0</v>
      </c>
    </row>
    <row r="82" spans="1:19" ht="16.5" customHeight="1">
      <c r="A82" s="201">
        <f>'1b-Sub-Performance'!A25</f>
        <v>0</v>
      </c>
      <c r="B82" s="169" t="s">
        <v>8</v>
      </c>
      <c r="C82" s="169" t="s">
        <v>7</v>
      </c>
      <c r="D82" s="169" t="s">
        <v>6</v>
      </c>
      <c r="E82" s="169" t="s">
        <v>5</v>
      </c>
      <c r="F82" s="169" t="s">
        <v>4</v>
      </c>
      <c r="G82" s="169" t="s">
        <v>3</v>
      </c>
      <c r="H82" s="169" t="s">
        <v>2</v>
      </c>
      <c r="I82" s="169" t="s">
        <v>1</v>
      </c>
      <c r="J82" s="169" t="s">
        <v>0</v>
      </c>
      <c r="K82" s="169" t="s">
        <v>1</v>
      </c>
      <c r="L82" s="169" t="s">
        <v>2</v>
      </c>
      <c r="M82" s="169" t="s">
        <v>3</v>
      </c>
      <c r="N82" s="169" t="s">
        <v>4</v>
      </c>
      <c r="O82" s="169" t="s">
        <v>5</v>
      </c>
      <c r="P82" s="169" t="s">
        <v>6</v>
      </c>
      <c r="Q82" s="169" t="s">
        <v>7</v>
      </c>
      <c r="R82" s="169" t="s">
        <v>8</v>
      </c>
      <c r="S82" s="170" t="e">
        <f>'1b-Sub-Performance'!#REF!</f>
        <v>#REF!</v>
      </c>
    </row>
    <row r="83" spans="1:19" ht="16.5" customHeight="1" thickBot="1">
      <c r="A83" s="205"/>
      <c r="B83" s="206" t="s">
        <v>8</v>
      </c>
      <c r="C83" s="206" t="s">
        <v>7</v>
      </c>
      <c r="D83" s="206" t="s">
        <v>6</v>
      </c>
      <c r="E83" s="206" t="s">
        <v>5</v>
      </c>
      <c r="F83" s="206" t="s">
        <v>4</v>
      </c>
      <c r="G83" s="206" t="s">
        <v>3</v>
      </c>
      <c r="H83" s="206" t="s">
        <v>2</v>
      </c>
      <c r="I83" s="206" t="s">
        <v>1</v>
      </c>
      <c r="J83" s="206" t="s">
        <v>0</v>
      </c>
      <c r="K83" s="206" t="s">
        <v>1</v>
      </c>
      <c r="L83" s="206" t="s">
        <v>2</v>
      </c>
      <c r="M83" s="206" t="s">
        <v>3</v>
      </c>
      <c r="N83" s="206" t="s">
        <v>4</v>
      </c>
      <c r="O83" s="206" t="s">
        <v>5</v>
      </c>
      <c r="P83" s="206" t="s">
        <v>6</v>
      </c>
      <c r="Q83" s="206" t="s">
        <v>7</v>
      </c>
      <c r="R83" s="206" t="s">
        <v>8</v>
      </c>
      <c r="S83" s="207">
        <f>'1b-Sub-Performance'!A26</f>
        <v>0</v>
      </c>
    </row>
    <row r="84" spans="1:19" ht="16.5" customHeight="1" thickBot="1">
      <c r="A84" s="213" t="e">
        <f>'1b-Sub-Performance'!#REF!</f>
        <v>#REF!</v>
      </c>
      <c r="B84" s="222" t="s">
        <v>8</v>
      </c>
      <c r="C84" s="222" t="s">
        <v>7</v>
      </c>
      <c r="D84" s="222" t="s">
        <v>6</v>
      </c>
      <c r="E84" s="222" t="s">
        <v>5</v>
      </c>
      <c r="F84" s="222" t="s">
        <v>4</v>
      </c>
      <c r="G84" s="222" t="s">
        <v>3</v>
      </c>
      <c r="H84" s="222" t="s">
        <v>2</v>
      </c>
      <c r="I84" s="222" t="s">
        <v>1</v>
      </c>
      <c r="J84" s="222" t="s">
        <v>0</v>
      </c>
      <c r="K84" s="222" t="s">
        <v>1</v>
      </c>
      <c r="L84" s="222" t="s">
        <v>2</v>
      </c>
      <c r="M84" s="222" t="s">
        <v>3</v>
      </c>
      <c r="N84" s="222" t="s">
        <v>4</v>
      </c>
      <c r="O84" s="222" t="s">
        <v>5</v>
      </c>
      <c r="P84" s="222" t="s">
        <v>6</v>
      </c>
      <c r="Q84" s="222" t="s">
        <v>7</v>
      </c>
      <c r="R84" s="222" t="s">
        <v>8</v>
      </c>
      <c r="S84" s="214">
        <f>'1b-Sub-Performance'!A26</f>
        <v>0</v>
      </c>
    </row>
    <row r="85" spans="1:19" ht="7.5" customHeight="1" thickBot="1">
      <c r="A85" s="215"/>
      <c r="B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5"/>
    </row>
    <row r="86" spans="1:19" ht="18.75" customHeight="1" thickBot="1">
      <c r="A86" s="217"/>
      <c r="B86" s="218"/>
      <c r="C86" s="218"/>
      <c r="D86" s="218"/>
      <c r="E86" s="218"/>
      <c r="F86" s="218"/>
      <c r="G86" s="219"/>
      <c r="H86" s="219"/>
      <c r="I86" s="220" t="str">
        <f>'1b-Sub-Performance'!B27</f>
        <v>친환경성</v>
      </c>
      <c r="J86" s="219" t="s">
        <v>14</v>
      </c>
      <c r="K86" s="219" t="s">
        <v>15</v>
      </c>
      <c r="L86" s="219"/>
      <c r="M86" s="219"/>
      <c r="N86" s="218"/>
      <c r="O86" s="218"/>
      <c r="P86" s="218"/>
      <c r="Q86" s="218"/>
      <c r="R86" s="218"/>
      <c r="S86" s="221"/>
    </row>
    <row r="87" spans="1:19" ht="33.75" customHeight="1" thickBot="1">
      <c r="A87" s="231" t="s">
        <v>221</v>
      </c>
      <c r="B87" s="232" t="s">
        <v>222</v>
      </c>
      <c r="C87" s="233"/>
      <c r="D87" s="232" t="s">
        <v>223</v>
      </c>
      <c r="E87" s="233"/>
      <c r="F87" s="232" t="s">
        <v>224</v>
      </c>
      <c r="G87" s="233"/>
      <c r="H87" s="232" t="s">
        <v>225</v>
      </c>
      <c r="I87" s="233"/>
      <c r="J87" s="232" t="s">
        <v>226</v>
      </c>
      <c r="K87" s="233"/>
      <c r="L87" s="232" t="s">
        <v>225</v>
      </c>
      <c r="M87" s="233"/>
      <c r="N87" s="232" t="s">
        <v>224</v>
      </c>
      <c r="O87" s="233"/>
      <c r="P87" s="232" t="s">
        <v>223</v>
      </c>
      <c r="Q87" s="233"/>
      <c r="R87" s="232" t="s">
        <v>222</v>
      </c>
      <c r="S87" s="234" t="s">
        <v>221</v>
      </c>
    </row>
    <row r="88" spans="1:19" ht="17.100000000000001" customHeight="1">
      <c r="A88" s="201">
        <f>'1b-Sub-Performance'!A29</f>
        <v>0</v>
      </c>
      <c r="B88" s="169" t="s">
        <v>8</v>
      </c>
      <c r="C88" s="169" t="s">
        <v>7</v>
      </c>
      <c r="D88" s="169" t="s">
        <v>6</v>
      </c>
      <c r="E88" s="169" t="s">
        <v>5</v>
      </c>
      <c r="F88" s="169" t="s">
        <v>4</v>
      </c>
      <c r="G88" s="169" t="s">
        <v>3</v>
      </c>
      <c r="H88" s="169" t="s">
        <v>2</v>
      </c>
      <c r="I88" s="169" t="s">
        <v>1</v>
      </c>
      <c r="J88" s="169" t="s">
        <v>0</v>
      </c>
      <c r="K88" s="169" t="s">
        <v>1</v>
      </c>
      <c r="L88" s="169" t="s">
        <v>2</v>
      </c>
      <c r="M88" s="169" t="s">
        <v>3</v>
      </c>
      <c r="N88" s="169" t="s">
        <v>4</v>
      </c>
      <c r="O88" s="169" t="s">
        <v>5</v>
      </c>
      <c r="P88" s="169" t="s">
        <v>6</v>
      </c>
      <c r="Q88" s="169" t="s">
        <v>7</v>
      </c>
      <c r="R88" s="169" t="s">
        <v>8</v>
      </c>
      <c r="S88" s="170">
        <f>'1b-Sub-Performance'!A30</f>
        <v>0</v>
      </c>
    </row>
    <row r="89" spans="1:19" ht="16.5" customHeight="1">
      <c r="A89" s="202"/>
      <c r="B89" s="46" t="s">
        <v>8</v>
      </c>
      <c r="C89" s="46" t="s">
        <v>7</v>
      </c>
      <c r="D89" s="46" t="s">
        <v>6</v>
      </c>
      <c r="E89" s="46" t="s">
        <v>5</v>
      </c>
      <c r="F89" s="46" t="s">
        <v>4</v>
      </c>
      <c r="G89" s="46" t="s">
        <v>3</v>
      </c>
      <c r="H89" s="46" t="s">
        <v>2</v>
      </c>
      <c r="I89" s="46" t="s">
        <v>1</v>
      </c>
      <c r="J89" s="46" t="s">
        <v>0</v>
      </c>
      <c r="K89" s="46" t="s">
        <v>1</v>
      </c>
      <c r="L89" s="46" t="s">
        <v>2</v>
      </c>
      <c r="M89" s="46" t="s">
        <v>3</v>
      </c>
      <c r="N89" s="46" t="s">
        <v>4</v>
      </c>
      <c r="O89" s="46" t="s">
        <v>5</v>
      </c>
      <c r="P89" s="46" t="s">
        <v>6</v>
      </c>
      <c r="Q89" s="46" t="s">
        <v>7</v>
      </c>
      <c r="R89" s="46" t="s">
        <v>8</v>
      </c>
      <c r="S89" s="203" t="e">
        <f>'1b-Sub-Performance'!#REF!</f>
        <v>#REF!</v>
      </c>
    </row>
    <row r="90" spans="1:19" ht="16.5" customHeight="1">
      <c r="A90" s="202"/>
      <c r="B90" s="46" t="s">
        <v>8</v>
      </c>
      <c r="C90" s="46" t="s">
        <v>7</v>
      </c>
      <c r="D90" s="46" t="s">
        <v>6</v>
      </c>
      <c r="E90" s="46" t="s">
        <v>5</v>
      </c>
      <c r="F90" s="46" t="s">
        <v>4</v>
      </c>
      <c r="G90" s="46" t="s">
        <v>3</v>
      </c>
      <c r="H90" s="46" t="s">
        <v>2</v>
      </c>
      <c r="I90" s="46" t="s">
        <v>1</v>
      </c>
      <c r="J90" s="46" t="s">
        <v>0</v>
      </c>
      <c r="K90" s="46" t="s">
        <v>1</v>
      </c>
      <c r="L90" s="46" t="s">
        <v>2</v>
      </c>
      <c r="M90" s="46" t="s">
        <v>3</v>
      </c>
      <c r="N90" s="46" t="s">
        <v>4</v>
      </c>
      <c r="O90" s="46" t="s">
        <v>5</v>
      </c>
      <c r="P90" s="46" t="s">
        <v>6</v>
      </c>
      <c r="Q90" s="46" t="s">
        <v>7</v>
      </c>
      <c r="R90" s="46" t="s">
        <v>8</v>
      </c>
      <c r="S90" s="203">
        <f>'1b-Sub-Performance'!A31</f>
        <v>0</v>
      </c>
    </row>
    <row r="91" spans="1:19" ht="16.5" customHeight="1" thickBot="1">
      <c r="A91" s="205"/>
      <c r="B91" s="206" t="s">
        <v>8</v>
      </c>
      <c r="C91" s="206" t="s">
        <v>7</v>
      </c>
      <c r="D91" s="206" t="s">
        <v>6</v>
      </c>
      <c r="E91" s="206" t="s">
        <v>5</v>
      </c>
      <c r="F91" s="206" t="s">
        <v>4</v>
      </c>
      <c r="G91" s="206" t="s">
        <v>3</v>
      </c>
      <c r="H91" s="206" t="s">
        <v>2</v>
      </c>
      <c r="I91" s="206" t="s">
        <v>1</v>
      </c>
      <c r="J91" s="206" t="s">
        <v>0</v>
      </c>
      <c r="K91" s="206" t="s">
        <v>1</v>
      </c>
      <c r="L91" s="206" t="s">
        <v>2</v>
      </c>
      <c r="M91" s="206" t="s">
        <v>3</v>
      </c>
      <c r="N91" s="206" t="s">
        <v>4</v>
      </c>
      <c r="O91" s="206" t="s">
        <v>5</v>
      </c>
      <c r="P91" s="206" t="s">
        <v>6</v>
      </c>
      <c r="Q91" s="206" t="s">
        <v>7</v>
      </c>
      <c r="R91" s="206" t="s">
        <v>8</v>
      </c>
      <c r="S91" s="207">
        <f>'1b-Sub-Performance'!A32</f>
        <v>0</v>
      </c>
    </row>
    <row r="92" spans="1:19" ht="16.5" customHeight="1">
      <c r="A92" s="201">
        <f>'1b-Sub-Performance'!A30</f>
        <v>0</v>
      </c>
      <c r="B92" s="169" t="s">
        <v>8</v>
      </c>
      <c r="C92" s="169" t="s">
        <v>7</v>
      </c>
      <c r="D92" s="169" t="s">
        <v>6</v>
      </c>
      <c r="E92" s="169" t="s">
        <v>5</v>
      </c>
      <c r="F92" s="169" t="s">
        <v>4</v>
      </c>
      <c r="G92" s="169" t="s">
        <v>3</v>
      </c>
      <c r="H92" s="169" t="s">
        <v>2</v>
      </c>
      <c r="I92" s="169" t="s">
        <v>1</v>
      </c>
      <c r="J92" s="169" t="s">
        <v>0</v>
      </c>
      <c r="K92" s="169" t="s">
        <v>1</v>
      </c>
      <c r="L92" s="169" t="s">
        <v>2</v>
      </c>
      <c r="M92" s="169" t="s">
        <v>3</v>
      </c>
      <c r="N92" s="169" t="s">
        <v>4</v>
      </c>
      <c r="O92" s="169" t="s">
        <v>5</v>
      </c>
      <c r="P92" s="169" t="s">
        <v>6</v>
      </c>
      <c r="Q92" s="169" t="s">
        <v>7</v>
      </c>
      <c r="R92" s="169" t="s">
        <v>8</v>
      </c>
      <c r="S92" s="170" t="e">
        <f>'1b-Sub-Performance'!#REF!</f>
        <v>#REF!</v>
      </c>
    </row>
    <row r="93" spans="1:19" ht="16.5" customHeight="1">
      <c r="A93" s="202"/>
      <c r="B93" s="46" t="s">
        <v>8</v>
      </c>
      <c r="C93" s="46" t="s">
        <v>7</v>
      </c>
      <c r="D93" s="46" t="s">
        <v>6</v>
      </c>
      <c r="E93" s="46" t="s">
        <v>5</v>
      </c>
      <c r="F93" s="46" t="s">
        <v>4</v>
      </c>
      <c r="G93" s="46" t="s">
        <v>3</v>
      </c>
      <c r="H93" s="46" t="s">
        <v>2</v>
      </c>
      <c r="I93" s="46" t="s">
        <v>1</v>
      </c>
      <c r="J93" s="46" t="s">
        <v>0</v>
      </c>
      <c r="K93" s="46" t="s">
        <v>1</v>
      </c>
      <c r="L93" s="46" t="s">
        <v>2</v>
      </c>
      <c r="M93" s="46" t="s">
        <v>3</v>
      </c>
      <c r="N93" s="46" t="s">
        <v>4</v>
      </c>
      <c r="O93" s="46" t="s">
        <v>5</v>
      </c>
      <c r="P93" s="46" t="s">
        <v>6</v>
      </c>
      <c r="Q93" s="46" t="s">
        <v>7</v>
      </c>
      <c r="R93" s="46" t="s">
        <v>8</v>
      </c>
      <c r="S93" s="203">
        <f>'1b-Sub-Performance'!A31</f>
        <v>0</v>
      </c>
    </row>
    <row r="94" spans="1:19" ht="16.5" customHeight="1" thickBot="1">
      <c r="A94" s="205"/>
      <c r="B94" s="206" t="s">
        <v>8</v>
      </c>
      <c r="C94" s="206" t="s">
        <v>7</v>
      </c>
      <c r="D94" s="206" t="s">
        <v>6</v>
      </c>
      <c r="E94" s="206" t="s">
        <v>5</v>
      </c>
      <c r="F94" s="206" t="s">
        <v>4</v>
      </c>
      <c r="G94" s="206" t="s">
        <v>3</v>
      </c>
      <c r="H94" s="206" t="s">
        <v>2</v>
      </c>
      <c r="I94" s="206" t="s">
        <v>1</v>
      </c>
      <c r="J94" s="206" t="s">
        <v>0</v>
      </c>
      <c r="K94" s="206" t="s">
        <v>1</v>
      </c>
      <c r="L94" s="206" t="s">
        <v>2</v>
      </c>
      <c r="M94" s="206" t="s">
        <v>3</v>
      </c>
      <c r="N94" s="206" t="s">
        <v>4</v>
      </c>
      <c r="O94" s="206" t="s">
        <v>5</v>
      </c>
      <c r="P94" s="206" t="s">
        <v>6</v>
      </c>
      <c r="Q94" s="206" t="s">
        <v>7</v>
      </c>
      <c r="R94" s="206" t="s">
        <v>8</v>
      </c>
      <c r="S94" s="207">
        <f>'1b-Sub-Performance'!A32</f>
        <v>0</v>
      </c>
    </row>
    <row r="95" spans="1:19" ht="16.5" customHeight="1">
      <c r="A95" s="201" t="e">
        <f>'1b-Sub-Performance'!#REF!</f>
        <v>#REF!</v>
      </c>
      <c r="B95" s="169" t="s">
        <v>8</v>
      </c>
      <c r="C95" s="169" t="s">
        <v>7</v>
      </c>
      <c r="D95" s="169" t="s">
        <v>6</v>
      </c>
      <c r="E95" s="169" t="s">
        <v>5</v>
      </c>
      <c r="F95" s="169" t="s">
        <v>4</v>
      </c>
      <c r="G95" s="169" t="s">
        <v>3</v>
      </c>
      <c r="H95" s="169" t="s">
        <v>2</v>
      </c>
      <c r="I95" s="169" t="s">
        <v>1</v>
      </c>
      <c r="J95" s="169" t="s">
        <v>0</v>
      </c>
      <c r="K95" s="169" t="s">
        <v>1</v>
      </c>
      <c r="L95" s="169" t="s">
        <v>2</v>
      </c>
      <c r="M95" s="169" t="s">
        <v>3</v>
      </c>
      <c r="N95" s="169" t="s">
        <v>4</v>
      </c>
      <c r="O95" s="169" t="s">
        <v>5</v>
      </c>
      <c r="P95" s="169" t="s">
        <v>6</v>
      </c>
      <c r="Q95" s="169" t="s">
        <v>7</v>
      </c>
      <c r="R95" s="169" t="s">
        <v>8</v>
      </c>
      <c r="S95" s="170">
        <f>'1b-Sub-Performance'!A31</f>
        <v>0</v>
      </c>
    </row>
    <row r="96" spans="1:19" ht="16.5" customHeight="1" thickBot="1">
      <c r="A96" s="205"/>
      <c r="B96" s="206" t="s">
        <v>8</v>
      </c>
      <c r="C96" s="206" t="s">
        <v>7</v>
      </c>
      <c r="D96" s="206" t="s">
        <v>6</v>
      </c>
      <c r="E96" s="206" t="s">
        <v>5</v>
      </c>
      <c r="F96" s="206" t="s">
        <v>4</v>
      </c>
      <c r="G96" s="206" t="s">
        <v>3</v>
      </c>
      <c r="H96" s="206" t="s">
        <v>2</v>
      </c>
      <c r="I96" s="206" t="s">
        <v>1</v>
      </c>
      <c r="J96" s="206" t="s">
        <v>0</v>
      </c>
      <c r="K96" s="206" t="s">
        <v>1</v>
      </c>
      <c r="L96" s="206" t="s">
        <v>2</v>
      </c>
      <c r="M96" s="206" t="s">
        <v>3</v>
      </c>
      <c r="N96" s="206" t="s">
        <v>4</v>
      </c>
      <c r="O96" s="206" t="s">
        <v>5</v>
      </c>
      <c r="P96" s="206" t="s">
        <v>6</v>
      </c>
      <c r="Q96" s="206" t="s">
        <v>7</v>
      </c>
      <c r="R96" s="206" t="s">
        <v>8</v>
      </c>
      <c r="S96" s="207">
        <f>'1b-Sub-Performance'!A32</f>
        <v>0</v>
      </c>
    </row>
    <row r="97" spans="1:19" ht="16.5" customHeight="1" thickBot="1">
      <c r="A97" s="213">
        <f>'1b-Sub-Performance'!A31</f>
        <v>0</v>
      </c>
      <c r="B97" s="222" t="s">
        <v>8</v>
      </c>
      <c r="C97" s="222" t="s">
        <v>7</v>
      </c>
      <c r="D97" s="222" t="s">
        <v>6</v>
      </c>
      <c r="E97" s="222" t="s">
        <v>5</v>
      </c>
      <c r="F97" s="222" t="s">
        <v>4</v>
      </c>
      <c r="G97" s="222" t="s">
        <v>3</v>
      </c>
      <c r="H97" s="222" t="s">
        <v>2</v>
      </c>
      <c r="I97" s="222" t="s">
        <v>1</v>
      </c>
      <c r="J97" s="222" t="s">
        <v>0</v>
      </c>
      <c r="K97" s="222" t="s">
        <v>1</v>
      </c>
      <c r="L97" s="222" t="s">
        <v>2</v>
      </c>
      <c r="M97" s="222" t="s">
        <v>3</v>
      </c>
      <c r="N97" s="222" t="s">
        <v>4</v>
      </c>
      <c r="O97" s="222" t="s">
        <v>5</v>
      </c>
      <c r="P97" s="222" t="s">
        <v>6</v>
      </c>
      <c r="Q97" s="222" t="s">
        <v>7</v>
      </c>
      <c r="R97" s="222" t="s">
        <v>8</v>
      </c>
      <c r="S97" s="214">
        <f>'1b-Sub-Performance'!A32</f>
        <v>0</v>
      </c>
    </row>
    <row r="98" spans="1:19" ht="7.5" customHeight="1" thickBot="1">
      <c r="A98" s="215"/>
      <c r="B98" s="216"/>
      <c r="C98" s="216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5"/>
    </row>
    <row r="99" spans="1:19" ht="18.75" customHeight="1" thickBot="1">
      <c r="A99" s="217"/>
      <c r="B99" s="218"/>
      <c r="C99" s="218"/>
      <c r="D99" s="218"/>
      <c r="E99" s="218"/>
      <c r="F99" s="218"/>
      <c r="G99" s="219"/>
      <c r="H99" s="219"/>
      <c r="I99" s="220" t="str">
        <f>'1b-Sub-Performance'!B33</f>
        <v>배수성</v>
      </c>
      <c r="J99" s="219" t="s">
        <v>14</v>
      </c>
      <c r="K99" s="219" t="s">
        <v>15</v>
      </c>
      <c r="L99" s="219"/>
      <c r="M99" s="219"/>
      <c r="N99" s="218"/>
      <c r="O99" s="218"/>
      <c r="P99" s="218"/>
      <c r="Q99" s="218"/>
      <c r="R99" s="218"/>
      <c r="S99" s="221"/>
    </row>
    <row r="100" spans="1:19" ht="33.75" customHeight="1" thickBot="1">
      <c r="A100" s="231" t="s">
        <v>221</v>
      </c>
      <c r="B100" s="232" t="s">
        <v>222</v>
      </c>
      <c r="C100" s="233"/>
      <c r="D100" s="232" t="s">
        <v>223</v>
      </c>
      <c r="E100" s="233"/>
      <c r="F100" s="232" t="s">
        <v>224</v>
      </c>
      <c r="G100" s="233"/>
      <c r="H100" s="232" t="s">
        <v>225</v>
      </c>
      <c r="I100" s="233"/>
      <c r="J100" s="232" t="s">
        <v>226</v>
      </c>
      <c r="K100" s="233"/>
      <c r="L100" s="232" t="s">
        <v>225</v>
      </c>
      <c r="M100" s="233"/>
      <c r="N100" s="232" t="s">
        <v>224</v>
      </c>
      <c r="O100" s="233"/>
      <c r="P100" s="232" t="s">
        <v>223</v>
      </c>
      <c r="Q100" s="233"/>
      <c r="R100" s="232" t="s">
        <v>222</v>
      </c>
      <c r="S100" s="234" t="s">
        <v>221</v>
      </c>
    </row>
    <row r="101" spans="1:19" ht="17.100000000000001" customHeight="1">
      <c r="A101" s="201">
        <f>'1b-Sub-Performance'!A35</f>
        <v>0</v>
      </c>
      <c r="B101" s="169" t="s">
        <v>8</v>
      </c>
      <c r="C101" s="169" t="s">
        <v>7</v>
      </c>
      <c r="D101" s="169" t="s">
        <v>6</v>
      </c>
      <c r="E101" s="169" t="s">
        <v>5</v>
      </c>
      <c r="F101" s="169" t="s">
        <v>4</v>
      </c>
      <c r="G101" s="169" t="s">
        <v>3</v>
      </c>
      <c r="H101" s="169" t="s">
        <v>2</v>
      </c>
      <c r="I101" s="169" t="s">
        <v>1</v>
      </c>
      <c r="J101" s="169" t="s">
        <v>0</v>
      </c>
      <c r="K101" s="169" t="s">
        <v>1</v>
      </c>
      <c r="L101" s="169" t="s">
        <v>2</v>
      </c>
      <c r="M101" s="169" t="s">
        <v>3</v>
      </c>
      <c r="N101" s="169" t="s">
        <v>4</v>
      </c>
      <c r="O101" s="169" t="s">
        <v>5</v>
      </c>
      <c r="P101" s="169" t="s">
        <v>6</v>
      </c>
      <c r="Q101" s="169" t="s">
        <v>7</v>
      </c>
      <c r="R101" s="169" t="s">
        <v>8</v>
      </c>
      <c r="S101" s="170">
        <f>'1b-Sub-Performance'!A36</f>
        <v>0</v>
      </c>
    </row>
    <row r="102" spans="1:19" ht="16.5" customHeight="1">
      <c r="A102" s="202"/>
      <c r="B102" s="46" t="s">
        <v>8</v>
      </c>
      <c r="C102" s="46" t="s">
        <v>7</v>
      </c>
      <c r="D102" s="46" t="s">
        <v>6</v>
      </c>
      <c r="E102" s="46" t="s">
        <v>5</v>
      </c>
      <c r="F102" s="46" t="s">
        <v>4</v>
      </c>
      <c r="G102" s="46" t="s">
        <v>3</v>
      </c>
      <c r="H102" s="46" t="s">
        <v>2</v>
      </c>
      <c r="I102" s="46" t="s">
        <v>1</v>
      </c>
      <c r="J102" s="46" t="s">
        <v>0</v>
      </c>
      <c r="K102" s="46" t="s">
        <v>1</v>
      </c>
      <c r="L102" s="46" t="s">
        <v>2</v>
      </c>
      <c r="M102" s="46" t="s">
        <v>3</v>
      </c>
      <c r="N102" s="46" t="s">
        <v>4</v>
      </c>
      <c r="O102" s="46" t="s">
        <v>5</v>
      </c>
      <c r="P102" s="46" t="s">
        <v>6</v>
      </c>
      <c r="Q102" s="46" t="s">
        <v>7</v>
      </c>
      <c r="R102" s="46" t="s">
        <v>8</v>
      </c>
      <c r="S102" s="203" t="e">
        <f>'1b-Sub-Performance'!#REF!</f>
        <v>#REF!</v>
      </c>
    </row>
    <row r="103" spans="1:19" ht="16.5" customHeight="1">
      <c r="A103" s="202"/>
      <c r="B103" s="46" t="s">
        <v>8</v>
      </c>
      <c r="C103" s="46" t="s">
        <v>7</v>
      </c>
      <c r="D103" s="46" t="s">
        <v>6</v>
      </c>
      <c r="E103" s="46" t="s">
        <v>5</v>
      </c>
      <c r="F103" s="46" t="s">
        <v>4</v>
      </c>
      <c r="G103" s="46" t="s">
        <v>3</v>
      </c>
      <c r="H103" s="46" t="s">
        <v>2</v>
      </c>
      <c r="I103" s="46" t="s">
        <v>1</v>
      </c>
      <c r="J103" s="46" t="s">
        <v>0</v>
      </c>
      <c r="K103" s="46" t="s">
        <v>1</v>
      </c>
      <c r="L103" s="46" t="s">
        <v>2</v>
      </c>
      <c r="M103" s="46" t="s">
        <v>3</v>
      </c>
      <c r="N103" s="46" t="s">
        <v>4</v>
      </c>
      <c r="O103" s="46" t="s">
        <v>5</v>
      </c>
      <c r="P103" s="46" t="s">
        <v>6</v>
      </c>
      <c r="Q103" s="46" t="s">
        <v>7</v>
      </c>
      <c r="R103" s="46" t="s">
        <v>8</v>
      </c>
      <c r="S103" s="203">
        <f>'1b-Sub-Performance'!A37</f>
        <v>0</v>
      </c>
    </row>
    <row r="104" spans="1:19" ht="16.5" customHeight="1" thickBot="1">
      <c r="A104" s="205"/>
      <c r="B104" s="206" t="s">
        <v>8</v>
      </c>
      <c r="C104" s="206" t="s">
        <v>7</v>
      </c>
      <c r="D104" s="206" t="s">
        <v>6</v>
      </c>
      <c r="E104" s="206" t="s">
        <v>5</v>
      </c>
      <c r="F104" s="206" t="s">
        <v>4</v>
      </c>
      <c r="G104" s="206" t="s">
        <v>3</v>
      </c>
      <c r="H104" s="206" t="s">
        <v>2</v>
      </c>
      <c r="I104" s="206" t="s">
        <v>1</v>
      </c>
      <c r="J104" s="206" t="s">
        <v>0</v>
      </c>
      <c r="K104" s="206" t="s">
        <v>1</v>
      </c>
      <c r="L104" s="206" t="s">
        <v>2</v>
      </c>
      <c r="M104" s="206" t="s">
        <v>3</v>
      </c>
      <c r="N104" s="206" t="s">
        <v>4</v>
      </c>
      <c r="O104" s="206" t="s">
        <v>5</v>
      </c>
      <c r="P104" s="206" t="s">
        <v>6</v>
      </c>
      <c r="Q104" s="206" t="s">
        <v>7</v>
      </c>
      <c r="R104" s="206" t="s">
        <v>8</v>
      </c>
      <c r="S104" s="207">
        <f>'1b-Sub-Performance'!A38</f>
        <v>0</v>
      </c>
    </row>
    <row r="105" spans="1:19" ht="16.5" customHeight="1">
      <c r="A105" s="201">
        <f>'1b-Sub-Performance'!A36</f>
        <v>0</v>
      </c>
      <c r="B105" s="169" t="s">
        <v>8</v>
      </c>
      <c r="C105" s="169" t="s">
        <v>7</v>
      </c>
      <c r="D105" s="169" t="s">
        <v>6</v>
      </c>
      <c r="E105" s="169" t="s">
        <v>5</v>
      </c>
      <c r="F105" s="169" t="s">
        <v>4</v>
      </c>
      <c r="G105" s="169" t="s">
        <v>3</v>
      </c>
      <c r="H105" s="169" t="s">
        <v>2</v>
      </c>
      <c r="I105" s="169" t="s">
        <v>1</v>
      </c>
      <c r="J105" s="169" t="s">
        <v>0</v>
      </c>
      <c r="K105" s="169" t="s">
        <v>1</v>
      </c>
      <c r="L105" s="169" t="s">
        <v>2</v>
      </c>
      <c r="M105" s="169" t="s">
        <v>3</v>
      </c>
      <c r="N105" s="169" t="s">
        <v>4</v>
      </c>
      <c r="O105" s="169" t="s">
        <v>5</v>
      </c>
      <c r="P105" s="169" t="s">
        <v>6</v>
      </c>
      <c r="Q105" s="169" t="s">
        <v>7</v>
      </c>
      <c r="R105" s="169" t="s">
        <v>8</v>
      </c>
      <c r="S105" s="170" t="e">
        <f>'1b-Sub-Performance'!#REF!</f>
        <v>#REF!</v>
      </c>
    </row>
    <row r="106" spans="1:19" ht="16.5" customHeight="1">
      <c r="A106" s="202"/>
      <c r="B106" s="46" t="s">
        <v>8</v>
      </c>
      <c r="C106" s="46" t="s">
        <v>7</v>
      </c>
      <c r="D106" s="46" t="s">
        <v>6</v>
      </c>
      <c r="E106" s="46" t="s">
        <v>5</v>
      </c>
      <c r="F106" s="46" t="s">
        <v>4</v>
      </c>
      <c r="G106" s="46" t="s">
        <v>3</v>
      </c>
      <c r="H106" s="46" t="s">
        <v>2</v>
      </c>
      <c r="I106" s="46" t="s">
        <v>1</v>
      </c>
      <c r="J106" s="46" t="s">
        <v>0</v>
      </c>
      <c r="K106" s="46" t="s">
        <v>1</v>
      </c>
      <c r="L106" s="46" t="s">
        <v>2</v>
      </c>
      <c r="M106" s="46" t="s">
        <v>3</v>
      </c>
      <c r="N106" s="46" t="s">
        <v>4</v>
      </c>
      <c r="O106" s="46" t="s">
        <v>5</v>
      </c>
      <c r="P106" s="46" t="s">
        <v>6</v>
      </c>
      <c r="Q106" s="46" t="s">
        <v>7</v>
      </c>
      <c r="R106" s="46" t="s">
        <v>8</v>
      </c>
      <c r="S106" s="203">
        <f>'1b-Sub-Performance'!A37</f>
        <v>0</v>
      </c>
    </row>
    <row r="107" spans="1:19" ht="16.5" customHeight="1" thickBot="1">
      <c r="A107" s="205"/>
      <c r="B107" s="206" t="s">
        <v>8</v>
      </c>
      <c r="C107" s="206" t="s">
        <v>7</v>
      </c>
      <c r="D107" s="206" t="s">
        <v>6</v>
      </c>
      <c r="E107" s="206" t="s">
        <v>5</v>
      </c>
      <c r="F107" s="206" t="s">
        <v>4</v>
      </c>
      <c r="G107" s="206" t="s">
        <v>3</v>
      </c>
      <c r="H107" s="206" t="s">
        <v>2</v>
      </c>
      <c r="I107" s="206" t="s">
        <v>1</v>
      </c>
      <c r="J107" s="206" t="s">
        <v>0</v>
      </c>
      <c r="K107" s="206" t="s">
        <v>1</v>
      </c>
      <c r="L107" s="206" t="s">
        <v>2</v>
      </c>
      <c r="M107" s="206" t="s">
        <v>3</v>
      </c>
      <c r="N107" s="206" t="s">
        <v>4</v>
      </c>
      <c r="O107" s="206" t="s">
        <v>5</v>
      </c>
      <c r="P107" s="206" t="s">
        <v>6</v>
      </c>
      <c r="Q107" s="206" t="s">
        <v>7</v>
      </c>
      <c r="R107" s="206" t="s">
        <v>8</v>
      </c>
      <c r="S107" s="207">
        <f>'1b-Sub-Performance'!A38</f>
        <v>0</v>
      </c>
    </row>
    <row r="108" spans="1:19" ht="16.5" customHeight="1">
      <c r="A108" s="201" t="e">
        <f>'1b-Sub-Performance'!#REF!</f>
        <v>#REF!</v>
      </c>
      <c r="B108" s="169" t="s">
        <v>8</v>
      </c>
      <c r="C108" s="169" t="s">
        <v>7</v>
      </c>
      <c r="D108" s="169" t="s">
        <v>6</v>
      </c>
      <c r="E108" s="169" t="s">
        <v>5</v>
      </c>
      <c r="F108" s="169" t="s">
        <v>4</v>
      </c>
      <c r="G108" s="169" t="s">
        <v>3</v>
      </c>
      <c r="H108" s="169" t="s">
        <v>2</v>
      </c>
      <c r="I108" s="169" t="s">
        <v>1</v>
      </c>
      <c r="J108" s="169" t="s">
        <v>0</v>
      </c>
      <c r="K108" s="169" t="s">
        <v>1</v>
      </c>
      <c r="L108" s="169" t="s">
        <v>2</v>
      </c>
      <c r="M108" s="169" t="s">
        <v>3</v>
      </c>
      <c r="N108" s="169" t="s">
        <v>4</v>
      </c>
      <c r="O108" s="169" t="s">
        <v>5</v>
      </c>
      <c r="P108" s="169" t="s">
        <v>6</v>
      </c>
      <c r="Q108" s="169" t="s">
        <v>7</v>
      </c>
      <c r="R108" s="169" t="s">
        <v>8</v>
      </c>
      <c r="S108" s="170">
        <f>'1b-Sub-Performance'!A37</f>
        <v>0</v>
      </c>
    </row>
    <row r="109" spans="1:19" ht="16.5" customHeight="1" thickBot="1">
      <c r="A109" s="205"/>
      <c r="B109" s="206" t="s">
        <v>8</v>
      </c>
      <c r="C109" s="206" t="s">
        <v>7</v>
      </c>
      <c r="D109" s="206" t="s">
        <v>6</v>
      </c>
      <c r="E109" s="206" t="s">
        <v>5</v>
      </c>
      <c r="F109" s="206" t="s">
        <v>4</v>
      </c>
      <c r="G109" s="206" t="s">
        <v>3</v>
      </c>
      <c r="H109" s="206" t="s">
        <v>2</v>
      </c>
      <c r="I109" s="206" t="s">
        <v>1</v>
      </c>
      <c r="J109" s="206" t="s">
        <v>0</v>
      </c>
      <c r="K109" s="206" t="s">
        <v>1</v>
      </c>
      <c r="L109" s="206" t="s">
        <v>2</v>
      </c>
      <c r="M109" s="206" t="s">
        <v>3</v>
      </c>
      <c r="N109" s="206" t="s">
        <v>4</v>
      </c>
      <c r="O109" s="206" t="s">
        <v>5</v>
      </c>
      <c r="P109" s="206" t="s">
        <v>6</v>
      </c>
      <c r="Q109" s="206" t="s">
        <v>7</v>
      </c>
      <c r="R109" s="206" t="s">
        <v>8</v>
      </c>
      <c r="S109" s="207">
        <f>'1b-Sub-Performance'!A38</f>
        <v>0</v>
      </c>
    </row>
    <row r="110" spans="1:19" ht="16.5" customHeight="1" thickBot="1">
      <c r="A110" s="213">
        <f>'1b-Sub-Performance'!A37</f>
        <v>0</v>
      </c>
      <c r="B110" s="222" t="s">
        <v>8</v>
      </c>
      <c r="C110" s="222" t="s">
        <v>7</v>
      </c>
      <c r="D110" s="222" t="s">
        <v>6</v>
      </c>
      <c r="E110" s="222" t="s">
        <v>5</v>
      </c>
      <c r="F110" s="222" t="s">
        <v>4</v>
      </c>
      <c r="G110" s="222" t="s">
        <v>3</v>
      </c>
      <c r="H110" s="222" t="s">
        <v>2</v>
      </c>
      <c r="I110" s="222" t="s">
        <v>1</v>
      </c>
      <c r="J110" s="222" t="s">
        <v>0</v>
      </c>
      <c r="K110" s="222" t="s">
        <v>1</v>
      </c>
      <c r="L110" s="222" t="s">
        <v>2</v>
      </c>
      <c r="M110" s="222" t="s">
        <v>3</v>
      </c>
      <c r="N110" s="222" t="s">
        <v>4</v>
      </c>
      <c r="O110" s="222" t="s">
        <v>5</v>
      </c>
      <c r="P110" s="222" t="s">
        <v>6</v>
      </c>
      <c r="Q110" s="222" t="s">
        <v>7</v>
      </c>
      <c r="R110" s="222" t="s">
        <v>8</v>
      </c>
      <c r="S110" s="214">
        <f>'1b-Sub-Performance'!A38</f>
        <v>0</v>
      </c>
    </row>
    <row r="111" spans="1:19" ht="7.5" customHeight="1" thickBot="1">
      <c r="A111" s="215"/>
      <c r="B111" s="216"/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5"/>
    </row>
    <row r="112" spans="1:19" ht="18.75" customHeight="1" thickBot="1">
      <c r="A112" s="217"/>
      <c r="B112" s="218"/>
      <c r="C112" s="218"/>
      <c r="D112" s="218"/>
      <c r="E112" s="218"/>
      <c r="F112" s="218"/>
      <c r="G112" s="219"/>
      <c r="H112" s="219"/>
      <c r="I112" s="220" t="str">
        <f>'1b-Sub-Performance'!B39</f>
        <v>교통안전성</v>
      </c>
      <c r="J112" s="219" t="s">
        <v>14</v>
      </c>
      <c r="K112" s="219" t="s">
        <v>15</v>
      </c>
      <c r="L112" s="219"/>
      <c r="M112" s="219"/>
      <c r="N112" s="218"/>
      <c r="O112" s="218"/>
      <c r="P112" s="218"/>
      <c r="Q112" s="218"/>
      <c r="R112" s="218"/>
      <c r="S112" s="221"/>
    </row>
    <row r="113" spans="1:19" ht="33.75" customHeight="1" thickBot="1">
      <c r="A113" s="231" t="s">
        <v>221</v>
      </c>
      <c r="B113" s="232" t="s">
        <v>222</v>
      </c>
      <c r="C113" s="233"/>
      <c r="D113" s="232" t="s">
        <v>223</v>
      </c>
      <c r="E113" s="233"/>
      <c r="F113" s="232" t="s">
        <v>224</v>
      </c>
      <c r="G113" s="233"/>
      <c r="H113" s="232" t="s">
        <v>225</v>
      </c>
      <c r="I113" s="233"/>
      <c r="J113" s="232" t="s">
        <v>226</v>
      </c>
      <c r="K113" s="233"/>
      <c r="L113" s="232" t="s">
        <v>225</v>
      </c>
      <c r="M113" s="233"/>
      <c r="N113" s="232" t="s">
        <v>224</v>
      </c>
      <c r="O113" s="233"/>
      <c r="P113" s="232" t="s">
        <v>223</v>
      </c>
      <c r="Q113" s="233"/>
      <c r="R113" s="232" t="s">
        <v>222</v>
      </c>
      <c r="S113" s="234" t="s">
        <v>221</v>
      </c>
    </row>
    <row r="114" spans="1:19" ht="17.100000000000001" customHeight="1">
      <c r="A114" s="201">
        <f>'1b-Sub-Performance'!A41</f>
        <v>0</v>
      </c>
      <c r="B114" s="169" t="s">
        <v>8</v>
      </c>
      <c r="C114" s="169" t="s">
        <v>7</v>
      </c>
      <c r="D114" s="169" t="s">
        <v>6</v>
      </c>
      <c r="E114" s="169" t="s">
        <v>5</v>
      </c>
      <c r="F114" s="169" t="s">
        <v>4</v>
      </c>
      <c r="G114" s="169" t="s">
        <v>3</v>
      </c>
      <c r="H114" s="169" t="s">
        <v>2</v>
      </c>
      <c r="I114" s="169" t="s">
        <v>1</v>
      </c>
      <c r="J114" s="169" t="s">
        <v>0</v>
      </c>
      <c r="K114" s="169" t="s">
        <v>1</v>
      </c>
      <c r="L114" s="169" t="s">
        <v>2</v>
      </c>
      <c r="M114" s="169" t="s">
        <v>3</v>
      </c>
      <c r="N114" s="169" t="s">
        <v>4</v>
      </c>
      <c r="O114" s="169" t="s">
        <v>5</v>
      </c>
      <c r="P114" s="169" t="s">
        <v>6</v>
      </c>
      <c r="Q114" s="169" t="s">
        <v>7</v>
      </c>
      <c r="R114" s="169" t="s">
        <v>8</v>
      </c>
      <c r="S114" s="170">
        <f>'1b-Sub-Performance'!A42</f>
        <v>0</v>
      </c>
    </row>
    <row r="115" spans="1:19" ht="16.5" customHeight="1">
      <c r="A115" s="202"/>
      <c r="B115" s="46" t="s">
        <v>8</v>
      </c>
      <c r="C115" s="46" t="s">
        <v>7</v>
      </c>
      <c r="D115" s="46" t="s">
        <v>6</v>
      </c>
      <c r="E115" s="46" t="s">
        <v>5</v>
      </c>
      <c r="F115" s="46" t="s">
        <v>4</v>
      </c>
      <c r="G115" s="46" t="s">
        <v>3</v>
      </c>
      <c r="H115" s="46" t="s">
        <v>2</v>
      </c>
      <c r="I115" s="46" t="s">
        <v>1</v>
      </c>
      <c r="J115" s="46" t="s">
        <v>0</v>
      </c>
      <c r="K115" s="46" t="s">
        <v>1</v>
      </c>
      <c r="L115" s="46" t="s">
        <v>2</v>
      </c>
      <c r="M115" s="46" t="s">
        <v>3</v>
      </c>
      <c r="N115" s="46" t="s">
        <v>4</v>
      </c>
      <c r="O115" s="46" t="s">
        <v>5</v>
      </c>
      <c r="P115" s="46" t="s">
        <v>6</v>
      </c>
      <c r="Q115" s="46" t="s">
        <v>7</v>
      </c>
      <c r="R115" s="46" t="s">
        <v>8</v>
      </c>
      <c r="S115" s="203" t="e">
        <f>'1b-Sub-Performance'!#REF!</f>
        <v>#REF!</v>
      </c>
    </row>
    <row r="116" spans="1:19" ht="16.5" customHeight="1">
      <c r="A116" s="202"/>
      <c r="B116" s="46" t="s">
        <v>8</v>
      </c>
      <c r="C116" s="46" t="s">
        <v>7</v>
      </c>
      <c r="D116" s="46" t="s">
        <v>6</v>
      </c>
      <c r="E116" s="46" t="s">
        <v>5</v>
      </c>
      <c r="F116" s="46" t="s">
        <v>4</v>
      </c>
      <c r="G116" s="46" t="s">
        <v>3</v>
      </c>
      <c r="H116" s="46" t="s">
        <v>2</v>
      </c>
      <c r="I116" s="46" t="s">
        <v>1</v>
      </c>
      <c r="J116" s="46" t="s">
        <v>0</v>
      </c>
      <c r="K116" s="46" t="s">
        <v>1</v>
      </c>
      <c r="L116" s="46" t="s">
        <v>2</v>
      </c>
      <c r="M116" s="46" t="s">
        <v>3</v>
      </c>
      <c r="N116" s="46" t="s">
        <v>4</v>
      </c>
      <c r="O116" s="46" t="s">
        <v>5</v>
      </c>
      <c r="P116" s="46" t="s">
        <v>6</v>
      </c>
      <c r="Q116" s="46" t="s">
        <v>7</v>
      </c>
      <c r="R116" s="46" t="s">
        <v>8</v>
      </c>
      <c r="S116" s="203">
        <f>'1b-Sub-Performance'!A43</f>
        <v>0</v>
      </c>
    </row>
    <row r="117" spans="1:19" ht="16.5" customHeight="1" thickBot="1">
      <c r="A117" s="205"/>
      <c r="B117" s="206" t="s">
        <v>8</v>
      </c>
      <c r="C117" s="206" t="s">
        <v>7</v>
      </c>
      <c r="D117" s="206" t="s">
        <v>6</v>
      </c>
      <c r="E117" s="206" t="s">
        <v>5</v>
      </c>
      <c r="F117" s="206" t="s">
        <v>4</v>
      </c>
      <c r="G117" s="206" t="s">
        <v>3</v>
      </c>
      <c r="H117" s="206" t="s">
        <v>2</v>
      </c>
      <c r="I117" s="206" t="s">
        <v>1</v>
      </c>
      <c r="J117" s="206" t="s">
        <v>0</v>
      </c>
      <c r="K117" s="206" t="s">
        <v>1</v>
      </c>
      <c r="L117" s="206" t="s">
        <v>2</v>
      </c>
      <c r="M117" s="206" t="s">
        <v>3</v>
      </c>
      <c r="N117" s="206" t="s">
        <v>4</v>
      </c>
      <c r="O117" s="206" t="s">
        <v>5</v>
      </c>
      <c r="P117" s="206" t="s">
        <v>6</v>
      </c>
      <c r="Q117" s="206" t="s">
        <v>7</v>
      </c>
      <c r="R117" s="206" t="s">
        <v>8</v>
      </c>
      <c r="S117" s="207">
        <f>'1b-Sub-Performance'!A44</f>
        <v>0</v>
      </c>
    </row>
    <row r="118" spans="1:19" ht="16.5" customHeight="1">
      <c r="A118" s="201">
        <f>'1b-Sub-Performance'!A42</f>
        <v>0</v>
      </c>
      <c r="B118" s="169" t="s">
        <v>8</v>
      </c>
      <c r="C118" s="169" t="s">
        <v>7</v>
      </c>
      <c r="D118" s="169" t="s">
        <v>6</v>
      </c>
      <c r="E118" s="169" t="s">
        <v>5</v>
      </c>
      <c r="F118" s="169" t="s">
        <v>4</v>
      </c>
      <c r="G118" s="169" t="s">
        <v>3</v>
      </c>
      <c r="H118" s="169" t="s">
        <v>2</v>
      </c>
      <c r="I118" s="169" t="s">
        <v>1</v>
      </c>
      <c r="J118" s="169" t="s">
        <v>0</v>
      </c>
      <c r="K118" s="169" t="s">
        <v>1</v>
      </c>
      <c r="L118" s="169" t="s">
        <v>2</v>
      </c>
      <c r="M118" s="169" t="s">
        <v>3</v>
      </c>
      <c r="N118" s="169" t="s">
        <v>4</v>
      </c>
      <c r="O118" s="169" t="s">
        <v>5</v>
      </c>
      <c r="P118" s="169" t="s">
        <v>6</v>
      </c>
      <c r="Q118" s="169" t="s">
        <v>7</v>
      </c>
      <c r="R118" s="169" t="s">
        <v>8</v>
      </c>
      <c r="S118" s="170" t="e">
        <f>'1b-Sub-Performance'!#REF!</f>
        <v>#REF!</v>
      </c>
    </row>
    <row r="119" spans="1:19" ht="16.5" customHeight="1">
      <c r="A119" s="202"/>
      <c r="B119" s="46" t="s">
        <v>8</v>
      </c>
      <c r="C119" s="46" t="s">
        <v>7</v>
      </c>
      <c r="D119" s="46" t="s">
        <v>6</v>
      </c>
      <c r="E119" s="46" t="s">
        <v>5</v>
      </c>
      <c r="F119" s="46" t="s">
        <v>4</v>
      </c>
      <c r="G119" s="46" t="s">
        <v>3</v>
      </c>
      <c r="H119" s="46" t="s">
        <v>2</v>
      </c>
      <c r="I119" s="46" t="s">
        <v>1</v>
      </c>
      <c r="J119" s="46" t="s">
        <v>0</v>
      </c>
      <c r="K119" s="46" t="s">
        <v>1</v>
      </c>
      <c r="L119" s="46" t="s">
        <v>2</v>
      </c>
      <c r="M119" s="46" t="s">
        <v>3</v>
      </c>
      <c r="N119" s="46" t="s">
        <v>4</v>
      </c>
      <c r="O119" s="46" t="s">
        <v>5</v>
      </c>
      <c r="P119" s="46" t="s">
        <v>6</v>
      </c>
      <c r="Q119" s="46" t="s">
        <v>7</v>
      </c>
      <c r="R119" s="46" t="s">
        <v>8</v>
      </c>
      <c r="S119" s="203">
        <f>'1b-Sub-Performance'!A43</f>
        <v>0</v>
      </c>
    </row>
    <row r="120" spans="1:19" ht="16.5" customHeight="1" thickBot="1">
      <c r="A120" s="205"/>
      <c r="B120" s="206" t="s">
        <v>8</v>
      </c>
      <c r="C120" s="206" t="s">
        <v>7</v>
      </c>
      <c r="D120" s="206" t="s">
        <v>6</v>
      </c>
      <c r="E120" s="206" t="s">
        <v>5</v>
      </c>
      <c r="F120" s="206" t="s">
        <v>4</v>
      </c>
      <c r="G120" s="206" t="s">
        <v>3</v>
      </c>
      <c r="H120" s="206" t="s">
        <v>2</v>
      </c>
      <c r="I120" s="206" t="s">
        <v>1</v>
      </c>
      <c r="J120" s="206" t="s">
        <v>0</v>
      </c>
      <c r="K120" s="206" t="s">
        <v>1</v>
      </c>
      <c r="L120" s="206" t="s">
        <v>2</v>
      </c>
      <c r="M120" s="206" t="s">
        <v>3</v>
      </c>
      <c r="N120" s="206" t="s">
        <v>4</v>
      </c>
      <c r="O120" s="206" t="s">
        <v>5</v>
      </c>
      <c r="P120" s="206" t="s">
        <v>6</v>
      </c>
      <c r="Q120" s="206" t="s">
        <v>7</v>
      </c>
      <c r="R120" s="206" t="s">
        <v>8</v>
      </c>
      <c r="S120" s="207">
        <f>'1b-Sub-Performance'!A44</f>
        <v>0</v>
      </c>
    </row>
    <row r="121" spans="1:19" ht="16.5" customHeight="1">
      <c r="A121" s="201" t="e">
        <f>'1b-Sub-Performance'!#REF!</f>
        <v>#REF!</v>
      </c>
      <c r="B121" s="169" t="s">
        <v>8</v>
      </c>
      <c r="C121" s="169" t="s">
        <v>7</v>
      </c>
      <c r="D121" s="169" t="s">
        <v>6</v>
      </c>
      <c r="E121" s="169" t="s">
        <v>5</v>
      </c>
      <c r="F121" s="169" t="s">
        <v>4</v>
      </c>
      <c r="G121" s="169" t="s">
        <v>3</v>
      </c>
      <c r="H121" s="169" t="s">
        <v>2</v>
      </c>
      <c r="I121" s="169" t="s">
        <v>1</v>
      </c>
      <c r="J121" s="169" t="s">
        <v>0</v>
      </c>
      <c r="K121" s="169" t="s">
        <v>1</v>
      </c>
      <c r="L121" s="169" t="s">
        <v>2</v>
      </c>
      <c r="M121" s="169" t="s">
        <v>3</v>
      </c>
      <c r="N121" s="169" t="s">
        <v>4</v>
      </c>
      <c r="O121" s="169" t="s">
        <v>5</v>
      </c>
      <c r="P121" s="169" t="s">
        <v>6</v>
      </c>
      <c r="Q121" s="169" t="s">
        <v>7</v>
      </c>
      <c r="R121" s="169" t="s">
        <v>8</v>
      </c>
      <c r="S121" s="170">
        <f>'1b-Sub-Performance'!A43</f>
        <v>0</v>
      </c>
    </row>
    <row r="122" spans="1:19" ht="16.5" customHeight="1" thickBot="1">
      <c r="A122" s="205"/>
      <c r="B122" s="206" t="s">
        <v>8</v>
      </c>
      <c r="C122" s="206" t="s">
        <v>7</v>
      </c>
      <c r="D122" s="206" t="s">
        <v>6</v>
      </c>
      <c r="E122" s="206" t="s">
        <v>5</v>
      </c>
      <c r="F122" s="206" t="s">
        <v>4</v>
      </c>
      <c r="G122" s="206" t="s">
        <v>3</v>
      </c>
      <c r="H122" s="206" t="s">
        <v>2</v>
      </c>
      <c r="I122" s="206" t="s">
        <v>1</v>
      </c>
      <c r="J122" s="206" t="s">
        <v>0</v>
      </c>
      <c r="K122" s="206" t="s">
        <v>1</v>
      </c>
      <c r="L122" s="206" t="s">
        <v>2</v>
      </c>
      <c r="M122" s="206" t="s">
        <v>3</v>
      </c>
      <c r="N122" s="206" t="s">
        <v>4</v>
      </c>
      <c r="O122" s="206" t="s">
        <v>5</v>
      </c>
      <c r="P122" s="206" t="s">
        <v>6</v>
      </c>
      <c r="Q122" s="206" t="s">
        <v>7</v>
      </c>
      <c r="R122" s="206" t="s">
        <v>8</v>
      </c>
      <c r="S122" s="207">
        <f>'1b-Sub-Performance'!A44</f>
        <v>0</v>
      </c>
    </row>
    <row r="123" spans="1:19" ht="16.5" customHeight="1" thickBot="1">
      <c r="A123" s="213">
        <f>'1b-Sub-Performance'!A43</f>
        <v>0</v>
      </c>
      <c r="B123" s="222" t="s">
        <v>8</v>
      </c>
      <c r="C123" s="222" t="s">
        <v>7</v>
      </c>
      <c r="D123" s="222" t="s">
        <v>6</v>
      </c>
      <c r="E123" s="222" t="s">
        <v>5</v>
      </c>
      <c r="F123" s="222" t="s">
        <v>4</v>
      </c>
      <c r="G123" s="222" t="s">
        <v>3</v>
      </c>
      <c r="H123" s="222" t="s">
        <v>2</v>
      </c>
      <c r="I123" s="222" t="s">
        <v>1</v>
      </c>
      <c r="J123" s="222" t="s">
        <v>0</v>
      </c>
      <c r="K123" s="222" t="s">
        <v>1</v>
      </c>
      <c r="L123" s="222" t="s">
        <v>2</v>
      </c>
      <c r="M123" s="222" t="s">
        <v>3</v>
      </c>
      <c r="N123" s="222" t="s">
        <v>4</v>
      </c>
      <c r="O123" s="222" t="s">
        <v>5</v>
      </c>
      <c r="P123" s="222" t="s">
        <v>6</v>
      </c>
      <c r="Q123" s="222" t="s">
        <v>7</v>
      </c>
      <c r="R123" s="222" t="s">
        <v>8</v>
      </c>
      <c r="S123" s="214">
        <f>'1b-Sub-Performance'!A44</f>
        <v>0</v>
      </c>
    </row>
    <row r="124" spans="1:19" ht="7.5" customHeight="1" thickBot="1">
      <c r="A124" s="215"/>
      <c r="B124" s="216"/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5"/>
    </row>
    <row r="125" spans="1:19" ht="18.75" customHeight="1" thickBot="1">
      <c r="A125" s="217"/>
      <c r="B125" s="218"/>
      <c r="C125" s="218"/>
      <c r="D125" s="218"/>
      <c r="E125" s="218"/>
      <c r="F125" s="218"/>
      <c r="G125" s="219"/>
      <c r="H125" s="219"/>
      <c r="I125" s="220" t="str">
        <f>'1b-Sub-Performance'!B45</f>
        <v>민원성</v>
      </c>
      <c r="J125" s="219" t="s">
        <v>14</v>
      </c>
      <c r="K125" s="219" t="s">
        <v>15</v>
      </c>
      <c r="L125" s="219"/>
      <c r="M125" s="219"/>
      <c r="N125" s="218"/>
      <c r="O125" s="218"/>
      <c r="P125" s="218"/>
      <c r="Q125" s="218"/>
      <c r="R125" s="218"/>
      <c r="S125" s="221"/>
    </row>
    <row r="126" spans="1:19" ht="33.75" customHeight="1" thickBot="1">
      <c r="A126" s="231" t="s">
        <v>221</v>
      </c>
      <c r="B126" s="232" t="s">
        <v>222</v>
      </c>
      <c r="C126" s="233"/>
      <c r="D126" s="232" t="s">
        <v>223</v>
      </c>
      <c r="E126" s="233"/>
      <c r="F126" s="232" t="s">
        <v>224</v>
      </c>
      <c r="G126" s="233"/>
      <c r="H126" s="232" t="s">
        <v>225</v>
      </c>
      <c r="I126" s="233"/>
      <c r="J126" s="232" t="s">
        <v>226</v>
      </c>
      <c r="K126" s="233"/>
      <c r="L126" s="232" t="s">
        <v>225</v>
      </c>
      <c r="M126" s="233"/>
      <c r="N126" s="232" t="s">
        <v>224</v>
      </c>
      <c r="O126" s="233"/>
      <c r="P126" s="232" t="s">
        <v>223</v>
      </c>
      <c r="Q126" s="233"/>
      <c r="R126" s="232" t="s">
        <v>222</v>
      </c>
      <c r="S126" s="234" t="s">
        <v>221</v>
      </c>
    </row>
    <row r="127" spans="1:19" ht="17.100000000000001" customHeight="1">
      <c r="A127" s="201">
        <f>'1b-Sub-Performance'!A47</f>
        <v>0</v>
      </c>
      <c r="B127" s="169" t="s">
        <v>8</v>
      </c>
      <c r="C127" s="169" t="s">
        <v>7</v>
      </c>
      <c r="D127" s="169" t="s">
        <v>6</v>
      </c>
      <c r="E127" s="169" t="s">
        <v>5</v>
      </c>
      <c r="F127" s="169" t="s">
        <v>4</v>
      </c>
      <c r="G127" s="169" t="s">
        <v>3</v>
      </c>
      <c r="H127" s="169" t="s">
        <v>2</v>
      </c>
      <c r="I127" s="169" t="s">
        <v>1</v>
      </c>
      <c r="J127" s="169" t="s">
        <v>0</v>
      </c>
      <c r="K127" s="169" t="s">
        <v>1</v>
      </c>
      <c r="L127" s="169" t="s">
        <v>2</v>
      </c>
      <c r="M127" s="169" t="s">
        <v>3</v>
      </c>
      <c r="N127" s="169" t="s">
        <v>4</v>
      </c>
      <c r="O127" s="169" t="s">
        <v>5</v>
      </c>
      <c r="P127" s="169" t="s">
        <v>6</v>
      </c>
      <c r="Q127" s="169" t="s">
        <v>7</v>
      </c>
      <c r="R127" s="169" t="s">
        <v>8</v>
      </c>
      <c r="S127" s="170">
        <f>'1b-Sub-Performance'!A48</f>
        <v>0</v>
      </c>
    </row>
    <row r="128" spans="1:19" ht="16.5" customHeight="1">
      <c r="A128" s="202"/>
      <c r="B128" s="46" t="s">
        <v>8</v>
      </c>
      <c r="C128" s="46" t="s">
        <v>7</v>
      </c>
      <c r="D128" s="46" t="s">
        <v>6</v>
      </c>
      <c r="E128" s="46" t="s">
        <v>5</v>
      </c>
      <c r="F128" s="46" t="s">
        <v>4</v>
      </c>
      <c r="G128" s="46" t="s">
        <v>3</v>
      </c>
      <c r="H128" s="46" t="s">
        <v>2</v>
      </c>
      <c r="I128" s="46" t="s">
        <v>1</v>
      </c>
      <c r="J128" s="46" t="s">
        <v>0</v>
      </c>
      <c r="K128" s="46" t="s">
        <v>1</v>
      </c>
      <c r="L128" s="46" t="s">
        <v>2</v>
      </c>
      <c r="M128" s="46" t="s">
        <v>3</v>
      </c>
      <c r="N128" s="46" t="s">
        <v>4</v>
      </c>
      <c r="O128" s="46" t="s">
        <v>5</v>
      </c>
      <c r="P128" s="46" t="s">
        <v>6</v>
      </c>
      <c r="Q128" s="46" t="s">
        <v>7</v>
      </c>
      <c r="R128" s="46" t="s">
        <v>8</v>
      </c>
      <c r="S128" s="203">
        <f>'1b-Sub-Performance'!A49</f>
        <v>0</v>
      </c>
    </row>
    <row r="129" spans="1:19" ht="16.5" customHeight="1">
      <c r="A129" s="202"/>
      <c r="B129" s="46" t="s">
        <v>8</v>
      </c>
      <c r="C129" s="46" t="s">
        <v>7</v>
      </c>
      <c r="D129" s="46" t="s">
        <v>6</v>
      </c>
      <c r="E129" s="46" t="s">
        <v>5</v>
      </c>
      <c r="F129" s="46" t="s">
        <v>4</v>
      </c>
      <c r="G129" s="46" t="s">
        <v>3</v>
      </c>
      <c r="H129" s="46" t="s">
        <v>2</v>
      </c>
      <c r="I129" s="46" t="s">
        <v>1</v>
      </c>
      <c r="J129" s="46" t="s">
        <v>0</v>
      </c>
      <c r="K129" s="46" t="s">
        <v>1</v>
      </c>
      <c r="L129" s="46" t="s">
        <v>2</v>
      </c>
      <c r="M129" s="46" t="s">
        <v>3</v>
      </c>
      <c r="N129" s="46" t="s">
        <v>4</v>
      </c>
      <c r="O129" s="46" t="s">
        <v>5</v>
      </c>
      <c r="P129" s="46" t="s">
        <v>6</v>
      </c>
      <c r="Q129" s="46" t="s">
        <v>7</v>
      </c>
      <c r="R129" s="46" t="s">
        <v>8</v>
      </c>
      <c r="S129" s="203" t="e">
        <f>'1b-Sub-Performance'!#REF!</f>
        <v>#REF!</v>
      </c>
    </row>
    <row r="130" spans="1:19" ht="16.5" customHeight="1" thickBot="1">
      <c r="A130" s="205"/>
      <c r="B130" s="206" t="s">
        <v>8</v>
      </c>
      <c r="C130" s="206" t="s">
        <v>7</v>
      </c>
      <c r="D130" s="206" t="s">
        <v>6</v>
      </c>
      <c r="E130" s="206" t="s">
        <v>5</v>
      </c>
      <c r="F130" s="206" t="s">
        <v>4</v>
      </c>
      <c r="G130" s="206" t="s">
        <v>3</v>
      </c>
      <c r="H130" s="206" t="s">
        <v>2</v>
      </c>
      <c r="I130" s="206" t="s">
        <v>1</v>
      </c>
      <c r="J130" s="206" t="s">
        <v>0</v>
      </c>
      <c r="K130" s="206" t="s">
        <v>1</v>
      </c>
      <c r="L130" s="206" t="s">
        <v>2</v>
      </c>
      <c r="M130" s="206" t="s">
        <v>3</v>
      </c>
      <c r="N130" s="206" t="s">
        <v>4</v>
      </c>
      <c r="O130" s="206" t="s">
        <v>5</v>
      </c>
      <c r="P130" s="206" t="s">
        <v>6</v>
      </c>
      <c r="Q130" s="206" t="s">
        <v>7</v>
      </c>
      <c r="R130" s="206" t="s">
        <v>8</v>
      </c>
      <c r="S130" s="207">
        <f>'1b-Sub-Performance'!A50</f>
        <v>0</v>
      </c>
    </row>
    <row r="131" spans="1:19" ht="16.5" customHeight="1">
      <c r="A131" s="201">
        <f>'1b-Sub-Performance'!A48</f>
        <v>0</v>
      </c>
      <c r="B131" s="169" t="s">
        <v>8</v>
      </c>
      <c r="C131" s="169" t="s">
        <v>7</v>
      </c>
      <c r="D131" s="169" t="s">
        <v>6</v>
      </c>
      <c r="E131" s="169" t="s">
        <v>5</v>
      </c>
      <c r="F131" s="169" t="s">
        <v>4</v>
      </c>
      <c r="G131" s="169" t="s">
        <v>3</v>
      </c>
      <c r="H131" s="169" t="s">
        <v>2</v>
      </c>
      <c r="I131" s="169" t="s">
        <v>1</v>
      </c>
      <c r="J131" s="169" t="s">
        <v>0</v>
      </c>
      <c r="K131" s="169" t="s">
        <v>1</v>
      </c>
      <c r="L131" s="169" t="s">
        <v>2</v>
      </c>
      <c r="M131" s="169" t="s">
        <v>3</v>
      </c>
      <c r="N131" s="169" t="s">
        <v>4</v>
      </c>
      <c r="O131" s="169" t="s">
        <v>5</v>
      </c>
      <c r="P131" s="169" t="s">
        <v>6</v>
      </c>
      <c r="Q131" s="169" t="s">
        <v>7</v>
      </c>
      <c r="R131" s="169" t="s">
        <v>8</v>
      </c>
      <c r="S131" s="170">
        <f>'1b-Sub-Performance'!A49</f>
        <v>0</v>
      </c>
    </row>
    <row r="132" spans="1:19" ht="16.5" customHeight="1">
      <c r="A132" s="202"/>
      <c r="B132" s="46" t="s">
        <v>8</v>
      </c>
      <c r="C132" s="46" t="s">
        <v>7</v>
      </c>
      <c r="D132" s="46" t="s">
        <v>6</v>
      </c>
      <c r="E132" s="46" t="s">
        <v>5</v>
      </c>
      <c r="F132" s="46" t="s">
        <v>4</v>
      </c>
      <c r="G132" s="46" t="s">
        <v>3</v>
      </c>
      <c r="H132" s="46" t="s">
        <v>2</v>
      </c>
      <c r="I132" s="46" t="s">
        <v>1</v>
      </c>
      <c r="J132" s="46" t="s">
        <v>0</v>
      </c>
      <c r="K132" s="46" t="s">
        <v>1</v>
      </c>
      <c r="L132" s="46" t="s">
        <v>2</v>
      </c>
      <c r="M132" s="46" t="s">
        <v>3</v>
      </c>
      <c r="N132" s="46" t="s">
        <v>4</v>
      </c>
      <c r="O132" s="46" t="s">
        <v>5</v>
      </c>
      <c r="P132" s="46" t="s">
        <v>6</v>
      </c>
      <c r="Q132" s="46" t="s">
        <v>7</v>
      </c>
      <c r="R132" s="46" t="s">
        <v>8</v>
      </c>
      <c r="S132" s="203" t="e">
        <f>'1b-Sub-Performance'!#REF!</f>
        <v>#REF!</v>
      </c>
    </row>
    <row r="133" spans="1:19" ht="16.5" customHeight="1" thickBot="1">
      <c r="A133" s="205"/>
      <c r="B133" s="206" t="s">
        <v>8</v>
      </c>
      <c r="C133" s="206" t="s">
        <v>7</v>
      </c>
      <c r="D133" s="206" t="s">
        <v>6</v>
      </c>
      <c r="E133" s="206" t="s">
        <v>5</v>
      </c>
      <c r="F133" s="206" t="s">
        <v>4</v>
      </c>
      <c r="G133" s="206" t="s">
        <v>3</v>
      </c>
      <c r="H133" s="206" t="s">
        <v>2</v>
      </c>
      <c r="I133" s="206" t="s">
        <v>1</v>
      </c>
      <c r="J133" s="206" t="s">
        <v>0</v>
      </c>
      <c r="K133" s="206" t="s">
        <v>1</v>
      </c>
      <c r="L133" s="206" t="s">
        <v>2</v>
      </c>
      <c r="M133" s="206" t="s">
        <v>3</v>
      </c>
      <c r="N133" s="206" t="s">
        <v>4</v>
      </c>
      <c r="O133" s="206" t="s">
        <v>5</v>
      </c>
      <c r="P133" s="206" t="s">
        <v>6</v>
      </c>
      <c r="Q133" s="206" t="s">
        <v>7</v>
      </c>
      <c r="R133" s="206" t="s">
        <v>8</v>
      </c>
      <c r="S133" s="207">
        <f>'1b-Sub-Performance'!A50</f>
        <v>0</v>
      </c>
    </row>
    <row r="134" spans="1:19" ht="16.5" customHeight="1">
      <c r="A134" s="201">
        <f>'1b-Sub-Performance'!A49</f>
        <v>0</v>
      </c>
      <c r="B134" s="169" t="s">
        <v>8</v>
      </c>
      <c r="C134" s="169" t="s">
        <v>7</v>
      </c>
      <c r="D134" s="169" t="s">
        <v>6</v>
      </c>
      <c r="E134" s="169" t="s">
        <v>5</v>
      </c>
      <c r="F134" s="169" t="s">
        <v>4</v>
      </c>
      <c r="G134" s="169" t="s">
        <v>3</v>
      </c>
      <c r="H134" s="169" t="s">
        <v>2</v>
      </c>
      <c r="I134" s="169" t="s">
        <v>1</v>
      </c>
      <c r="J134" s="169" t="s">
        <v>0</v>
      </c>
      <c r="K134" s="169" t="s">
        <v>1</v>
      </c>
      <c r="L134" s="169" t="s">
        <v>2</v>
      </c>
      <c r="M134" s="169" t="s">
        <v>3</v>
      </c>
      <c r="N134" s="169" t="s">
        <v>4</v>
      </c>
      <c r="O134" s="169" t="s">
        <v>5</v>
      </c>
      <c r="P134" s="169" t="s">
        <v>6</v>
      </c>
      <c r="Q134" s="169" t="s">
        <v>7</v>
      </c>
      <c r="R134" s="169" t="s">
        <v>8</v>
      </c>
      <c r="S134" s="170" t="e">
        <f>'1b-Sub-Performance'!#REF!</f>
        <v>#REF!</v>
      </c>
    </row>
    <row r="135" spans="1:19" ht="16.5" customHeight="1" thickBot="1">
      <c r="A135" s="205"/>
      <c r="B135" s="206" t="s">
        <v>8</v>
      </c>
      <c r="C135" s="206" t="s">
        <v>7</v>
      </c>
      <c r="D135" s="206" t="s">
        <v>6</v>
      </c>
      <c r="E135" s="206" t="s">
        <v>5</v>
      </c>
      <c r="F135" s="206" t="s">
        <v>4</v>
      </c>
      <c r="G135" s="206" t="s">
        <v>3</v>
      </c>
      <c r="H135" s="206" t="s">
        <v>2</v>
      </c>
      <c r="I135" s="206" t="s">
        <v>1</v>
      </c>
      <c r="J135" s="206" t="s">
        <v>0</v>
      </c>
      <c r="K135" s="206" t="s">
        <v>1</v>
      </c>
      <c r="L135" s="206" t="s">
        <v>2</v>
      </c>
      <c r="M135" s="206" t="s">
        <v>3</v>
      </c>
      <c r="N135" s="206" t="s">
        <v>4</v>
      </c>
      <c r="O135" s="206" t="s">
        <v>5</v>
      </c>
      <c r="P135" s="206" t="s">
        <v>6</v>
      </c>
      <c r="Q135" s="206" t="s">
        <v>7</v>
      </c>
      <c r="R135" s="206" t="s">
        <v>8</v>
      </c>
      <c r="S135" s="207">
        <f>'1b-Sub-Performance'!A50</f>
        <v>0</v>
      </c>
    </row>
    <row r="136" spans="1:19" ht="16.5" customHeight="1" thickBot="1">
      <c r="A136" s="213" t="e">
        <f>'1b-Sub-Performance'!#REF!</f>
        <v>#REF!</v>
      </c>
      <c r="B136" s="222" t="s">
        <v>8</v>
      </c>
      <c r="C136" s="222" t="s">
        <v>7</v>
      </c>
      <c r="D136" s="222" t="s">
        <v>6</v>
      </c>
      <c r="E136" s="222" t="s">
        <v>5</v>
      </c>
      <c r="F136" s="222" t="s">
        <v>4</v>
      </c>
      <c r="G136" s="222" t="s">
        <v>3</v>
      </c>
      <c r="H136" s="222" t="s">
        <v>2</v>
      </c>
      <c r="I136" s="222" t="s">
        <v>1</v>
      </c>
      <c r="J136" s="222" t="s">
        <v>0</v>
      </c>
      <c r="K136" s="222" t="s">
        <v>1</v>
      </c>
      <c r="L136" s="222" t="s">
        <v>2</v>
      </c>
      <c r="M136" s="222" t="s">
        <v>3</v>
      </c>
      <c r="N136" s="222" t="s">
        <v>4</v>
      </c>
      <c r="O136" s="222" t="s">
        <v>5</v>
      </c>
      <c r="P136" s="222" t="s">
        <v>6</v>
      </c>
      <c r="Q136" s="222" t="s">
        <v>7</v>
      </c>
      <c r="R136" s="222" t="s">
        <v>8</v>
      </c>
      <c r="S136" s="214">
        <f>'1b-Sub-Performance'!A50</f>
        <v>0</v>
      </c>
    </row>
    <row r="137" spans="1:19" ht="7.5" customHeight="1" thickBot="1">
      <c r="A137" s="215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5"/>
    </row>
    <row r="138" spans="1:19" ht="18.75" customHeight="1" thickBot="1">
      <c r="A138" s="217"/>
      <c r="B138" s="218"/>
      <c r="C138" s="218"/>
      <c r="D138" s="218"/>
      <c r="E138" s="218"/>
      <c r="F138" s="218"/>
      <c r="G138" s="219"/>
      <c r="H138" s="219"/>
      <c r="I138" s="220">
        <f>'1b-Sub-Performance'!A5</f>
        <v>0</v>
      </c>
      <c r="J138" s="219" t="s">
        <v>14</v>
      </c>
      <c r="K138" s="219" t="s">
        <v>16</v>
      </c>
      <c r="L138" s="219"/>
      <c r="M138" s="219"/>
      <c r="N138" s="218"/>
      <c r="O138" s="218"/>
      <c r="P138" s="218"/>
      <c r="Q138" s="218"/>
      <c r="R138" s="218"/>
      <c r="S138" s="221"/>
    </row>
    <row r="139" spans="1:19" ht="33.75" customHeight="1" thickBot="1">
      <c r="A139" s="231" t="s">
        <v>227</v>
      </c>
      <c r="B139" s="232" t="s">
        <v>222</v>
      </c>
      <c r="C139" s="233"/>
      <c r="D139" s="232" t="s">
        <v>223</v>
      </c>
      <c r="E139" s="233"/>
      <c r="F139" s="232" t="s">
        <v>224</v>
      </c>
      <c r="G139" s="233"/>
      <c r="H139" s="232" t="s">
        <v>225</v>
      </c>
      <c r="I139" s="233"/>
      <c r="J139" s="232" t="s">
        <v>226</v>
      </c>
      <c r="K139" s="233"/>
      <c r="L139" s="232" t="s">
        <v>225</v>
      </c>
      <c r="M139" s="233"/>
      <c r="N139" s="232" t="s">
        <v>224</v>
      </c>
      <c r="O139" s="233"/>
      <c r="P139" s="232" t="s">
        <v>223</v>
      </c>
      <c r="Q139" s="233"/>
      <c r="R139" s="232" t="s">
        <v>222</v>
      </c>
      <c r="S139" s="234" t="s">
        <v>227</v>
      </c>
    </row>
    <row r="140" spans="1:19" ht="17.100000000000001" customHeight="1">
      <c r="A140" s="201" t="str">
        <f>'6a-Hierarchy'!$D$4</f>
        <v>Original</v>
      </c>
      <c r="B140" s="169" t="s">
        <v>8</v>
      </c>
      <c r="C140" s="169" t="s">
        <v>7</v>
      </c>
      <c r="D140" s="169" t="s">
        <v>6</v>
      </c>
      <c r="E140" s="169" t="s">
        <v>5</v>
      </c>
      <c r="F140" s="169" t="s">
        <v>4</v>
      </c>
      <c r="G140" s="169" t="s">
        <v>3</v>
      </c>
      <c r="H140" s="169" t="s">
        <v>2</v>
      </c>
      <c r="I140" s="169" t="s">
        <v>1</v>
      </c>
      <c r="J140" s="169" t="s">
        <v>0</v>
      </c>
      <c r="K140" s="169" t="s">
        <v>1</v>
      </c>
      <c r="L140" s="169" t="s">
        <v>2</v>
      </c>
      <c r="M140" s="169" t="s">
        <v>3</v>
      </c>
      <c r="N140" s="169" t="s">
        <v>4</v>
      </c>
      <c r="O140" s="169" t="s">
        <v>5</v>
      </c>
      <c r="P140" s="169" t="s">
        <v>6</v>
      </c>
      <c r="Q140" s="169" t="s">
        <v>7</v>
      </c>
      <c r="R140" s="169" t="s">
        <v>8</v>
      </c>
      <c r="S140" s="170" t="str">
        <f>'6a-Hierarchy'!$E$4</f>
        <v>Alt.1</v>
      </c>
    </row>
    <row r="141" spans="1:19" ht="16.5" customHeight="1">
      <c r="A141" s="202"/>
      <c r="B141" s="46" t="s">
        <v>8</v>
      </c>
      <c r="C141" s="46" t="s">
        <v>7</v>
      </c>
      <c r="D141" s="46" t="s">
        <v>6</v>
      </c>
      <c r="E141" s="46" t="s">
        <v>5</v>
      </c>
      <c r="F141" s="46" t="s">
        <v>4</v>
      </c>
      <c r="G141" s="46" t="s">
        <v>3</v>
      </c>
      <c r="H141" s="46" t="s">
        <v>2</v>
      </c>
      <c r="I141" s="46" t="s">
        <v>1</v>
      </c>
      <c r="J141" s="46" t="s">
        <v>0</v>
      </c>
      <c r="K141" s="46" t="s">
        <v>1</v>
      </c>
      <c r="L141" s="46" t="s">
        <v>2</v>
      </c>
      <c r="M141" s="46" t="s">
        <v>3</v>
      </c>
      <c r="N141" s="46" t="s">
        <v>4</v>
      </c>
      <c r="O141" s="46" t="s">
        <v>5</v>
      </c>
      <c r="P141" s="46" t="s">
        <v>6</v>
      </c>
      <c r="Q141" s="46" t="s">
        <v>7</v>
      </c>
      <c r="R141" s="46" t="s">
        <v>8</v>
      </c>
      <c r="S141" s="203" t="str">
        <f>'6a-Hierarchy'!$F$4</f>
        <v>Alt.2</v>
      </c>
    </row>
    <row r="142" spans="1:19" ht="16.5" customHeight="1">
      <c r="A142" s="202"/>
      <c r="B142" s="46" t="s">
        <v>8</v>
      </c>
      <c r="C142" s="46" t="s">
        <v>7</v>
      </c>
      <c r="D142" s="46" t="s">
        <v>6</v>
      </c>
      <c r="E142" s="46" t="s">
        <v>5</v>
      </c>
      <c r="F142" s="46" t="s">
        <v>4</v>
      </c>
      <c r="G142" s="46" t="s">
        <v>3</v>
      </c>
      <c r="H142" s="46" t="s">
        <v>2</v>
      </c>
      <c r="I142" s="46" t="s">
        <v>1</v>
      </c>
      <c r="J142" s="46" t="s">
        <v>0</v>
      </c>
      <c r="K142" s="46" t="s">
        <v>1</v>
      </c>
      <c r="L142" s="46" t="s">
        <v>2</v>
      </c>
      <c r="M142" s="46" t="s">
        <v>3</v>
      </c>
      <c r="N142" s="46" t="s">
        <v>4</v>
      </c>
      <c r="O142" s="46" t="s">
        <v>5</v>
      </c>
      <c r="P142" s="46" t="s">
        <v>6</v>
      </c>
      <c r="Q142" s="46" t="s">
        <v>7</v>
      </c>
      <c r="R142" s="46" t="s">
        <v>8</v>
      </c>
      <c r="S142" s="203" t="str">
        <f>'6a-Hierarchy'!$G$4</f>
        <v>Alt.3</v>
      </c>
    </row>
    <row r="143" spans="1:19" ht="16.5" customHeight="1" thickBot="1">
      <c r="A143" s="205"/>
      <c r="B143" s="206" t="s">
        <v>8</v>
      </c>
      <c r="C143" s="206" t="s">
        <v>7</v>
      </c>
      <c r="D143" s="206" t="s">
        <v>6</v>
      </c>
      <c r="E143" s="206" t="s">
        <v>5</v>
      </c>
      <c r="F143" s="206" t="s">
        <v>4</v>
      </c>
      <c r="G143" s="206" t="s">
        <v>3</v>
      </c>
      <c r="H143" s="206" t="s">
        <v>2</v>
      </c>
      <c r="I143" s="206" t="s">
        <v>1</v>
      </c>
      <c r="J143" s="206" t="s">
        <v>0</v>
      </c>
      <c r="K143" s="206" t="s">
        <v>1</v>
      </c>
      <c r="L143" s="206" t="s">
        <v>2</v>
      </c>
      <c r="M143" s="206" t="s">
        <v>3</v>
      </c>
      <c r="N143" s="206" t="s">
        <v>4</v>
      </c>
      <c r="O143" s="206" t="s">
        <v>5</v>
      </c>
      <c r="P143" s="206" t="s">
        <v>6</v>
      </c>
      <c r="Q143" s="206" t="s">
        <v>7</v>
      </c>
      <c r="R143" s="206" t="s">
        <v>8</v>
      </c>
      <c r="S143" s="207" t="e">
        <f>'6a-Hierarchy'!#REF!</f>
        <v>#REF!</v>
      </c>
    </row>
    <row r="144" spans="1:19" ht="16.5" customHeight="1">
      <c r="A144" s="201" t="str">
        <f>'6a-Hierarchy'!$E$4</f>
        <v>Alt.1</v>
      </c>
      <c r="B144" s="169" t="s">
        <v>8</v>
      </c>
      <c r="C144" s="169" t="s">
        <v>7</v>
      </c>
      <c r="D144" s="169" t="s">
        <v>6</v>
      </c>
      <c r="E144" s="169" t="s">
        <v>5</v>
      </c>
      <c r="F144" s="169" t="s">
        <v>4</v>
      </c>
      <c r="G144" s="169" t="s">
        <v>3</v>
      </c>
      <c r="H144" s="169" t="s">
        <v>2</v>
      </c>
      <c r="I144" s="169" t="s">
        <v>1</v>
      </c>
      <c r="J144" s="169" t="s">
        <v>0</v>
      </c>
      <c r="K144" s="169" t="s">
        <v>1</v>
      </c>
      <c r="L144" s="169" t="s">
        <v>2</v>
      </c>
      <c r="M144" s="169" t="s">
        <v>3</v>
      </c>
      <c r="N144" s="169" t="s">
        <v>4</v>
      </c>
      <c r="O144" s="169" t="s">
        <v>5</v>
      </c>
      <c r="P144" s="169" t="s">
        <v>6</v>
      </c>
      <c r="Q144" s="169" t="s">
        <v>7</v>
      </c>
      <c r="R144" s="169" t="s">
        <v>8</v>
      </c>
      <c r="S144" s="170" t="str">
        <f>'6a-Hierarchy'!$F$4</f>
        <v>Alt.2</v>
      </c>
    </row>
    <row r="145" spans="1:19" ht="16.5" customHeight="1">
      <c r="A145" s="202"/>
      <c r="B145" s="46" t="s">
        <v>8</v>
      </c>
      <c r="C145" s="46" t="s">
        <v>7</v>
      </c>
      <c r="D145" s="46" t="s">
        <v>6</v>
      </c>
      <c r="E145" s="46" t="s">
        <v>5</v>
      </c>
      <c r="F145" s="46" t="s">
        <v>4</v>
      </c>
      <c r="G145" s="46" t="s">
        <v>3</v>
      </c>
      <c r="H145" s="46" t="s">
        <v>2</v>
      </c>
      <c r="I145" s="46" t="s">
        <v>1</v>
      </c>
      <c r="J145" s="46" t="s">
        <v>0</v>
      </c>
      <c r="K145" s="46" t="s">
        <v>1</v>
      </c>
      <c r="L145" s="46" t="s">
        <v>2</v>
      </c>
      <c r="M145" s="46" t="s">
        <v>3</v>
      </c>
      <c r="N145" s="46" t="s">
        <v>4</v>
      </c>
      <c r="O145" s="46" t="s">
        <v>5</v>
      </c>
      <c r="P145" s="46" t="s">
        <v>6</v>
      </c>
      <c r="Q145" s="46" t="s">
        <v>7</v>
      </c>
      <c r="R145" s="46" t="s">
        <v>8</v>
      </c>
      <c r="S145" s="203" t="str">
        <f>'6a-Hierarchy'!$G$4</f>
        <v>Alt.3</v>
      </c>
    </row>
    <row r="146" spans="1:19" ht="16.5" customHeight="1" thickBot="1">
      <c r="A146" s="205"/>
      <c r="B146" s="206" t="s">
        <v>8</v>
      </c>
      <c r="C146" s="206" t="s">
        <v>7</v>
      </c>
      <c r="D146" s="206" t="s">
        <v>6</v>
      </c>
      <c r="E146" s="206" t="s">
        <v>5</v>
      </c>
      <c r="F146" s="206" t="s">
        <v>4</v>
      </c>
      <c r="G146" s="206" t="s">
        <v>3</v>
      </c>
      <c r="H146" s="206" t="s">
        <v>2</v>
      </c>
      <c r="I146" s="206" t="s">
        <v>1</v>
      </c>
      <c r="J146" s="206" t="s">
        <v>0</v>
      </c>
      <c r="K146" s="206" t="s">
        <v>1</v>
      </c>
      <c r="L146" s="206" t="s">
        <v>2</v>
      </c>
      <c r="M146" s="206" t="s">
        <v>3</v>
      </c>
      <c r="N146" s="206" t="s">
        <v>4</v>
      </c>
      <c r="O146" s="206" t="s">
        <v>5</v>
      </c>
      <c r="P146" s="206" t="s">
        <v>6</v>
      </c>
      <c r="Q146" s="206" t="s">
        <v>7</v>
      </c>
      <c r="R146" s="206" t="s">
        <v>8</v>
      </c>
      <c r="S146" s="207" t="e">
        <f>'6a-Hierarchy'!#REF!</f>
        <v>#REF!</v>
      </c>
    </row>
    <row r="147" spans="1:19" ht="16.5" customHeight="1">
      <c r="A147" s="201" t="str">
        <f>'6a-Hierarchy'!$F$4</f>
        <v>Alt.2</v>
      </c>
      <c r="B147" s="169" t="s">
        <v>8</v>
      </c>
      <c r="C147" s="169" t="s">
        <v>7</v>
      </c>
      <c r="D147" s="169" t="s">
        <v>6</v>
      </c>
      <c r="E147" s="169" t="s">
        <v>5</v>
      </c>
      <c r="F147" s="169" t="s">
        <v>4</v>
      </c>
      <c r="G147" s="169" t="s">
        <v>3</v>
      </c>
      <c r="H147" s="169" t="s">
        <v>2</v>
      </c>
      <c r="I147" s="169" t="s">
        <v>1</v>
      </c>
      <c r="J147" s="169" t="s">
        <v>0</v>
      </c>
      <c r="K147" s="169" t="s">
        <v>1</v>
      </c>
      <c r="L147" s="169" t="s">
        <v>2</v>
      </c>
      <c r="M147" s="169" t="s">
        <v>3</v>
      </c>
      <c r="N147" s="169" t="s">
        <v>4</v>
      </c>
      <c r="O147" s="169" t="s">
        <v>5</v>
      </c>
      <c r="P147" s="169" t="s">
        <v>6</v>
      </c>
      <c r="Q147" s="169" t="s">
        <v>7</v>
      </c>
      <c r="R147" s="169" t="s">
        <v>8</v>
      </c>
      <c r="S147" s="170" t="str">
        <f>'6a-Hierarchy'!$G$4</f>
        <v>Alt.3</v>
      </c>
    </row>
    <row r="148" spans="1:19" ht="16.5" customHeight="1" thickBot="1">
      <c r="A148" s="205"/>
      <c r="B148" s="206" t="s">
        <v>8</v>
      </c>
      <c r="C148" s="206" t="s">
        <v>7</v>
      </c>
      <c r="D148" s="206" t="s">
        <v>6</v>
      </c>
      <c r="E148" s="206" t="s">
        <v>5</v>
      </c>
      <c r="F148" s="206" t="s">
        <v>4</v>
      </c>
      <c r="G148" s="206" t="s">
        <v>3</v>
      </c>
      <c r="H148" s="206" t="s">
        <v>2</v>
      </c>
      <c r="I148" s="206" t="s">
        <v>1</v>
      </c>
      <c r="J148" s="206" t="s">
        <v>0</v>
      </c>
      <c r="K148" s="206" t="s">
        <v>1</v>
      </c>
      <c r="L148" s="206" t="s">
        <v>2</v>
      </c>
      <c r="M148" s="206" t="s">
        <v>3</v>
      </c>
      <c r="N148" s="206" t="s">
        <v>4</v>
      </c>
      <c r="O148" s="206" t="s">
        <v>5</v>
      </c>
      <c r="P148" s="206" t="s">
        <v>6</v>
      </c>
      <c r="Q148" s="206" t="s">
        <v>7</v>
      </c>
      <c r="R148" s="206" t="s">
        <v>8</v>
      </c>
      <c r="S148" s="207" t="e">
        <f>'6a-Hierarchy'!#REF!</f>
        <v>#REF!</v>
      </c>
    </row>
    <row r="149" spans="1:19" ht="16.5" customHeight="1" thickBot="1">
      <c r="A149" s="213" t="str">
        <f>'6a-Hierarchy'!$G$4</f>
        <v>Alt.3</v>
      </c>
      <c r="B149" s="222" t="s">
        <v>8</v>
      </c>
      <c r="C149" s="222" t="s">
        <v>7</v>
      </c>
      <c r="D149" s="222" t="s">
        <v>6</v>
      </c>
      <c r="E149" s="222" t="s">
        <v>5</v>
      </c>
      <c r="F149" s="222" t="s">
        <v>4</v>
      </c>
      <c r="G149" s="222" t="s">
        <v>3</v>
      </c>
      <c r="H149" s="222" t="s">
        <v>2</v>
      </c>
      <c r="I149" s="222" t="s">
        <v>1</v>
      </c>
      <c r="J149" s="222" t="s">
        <v>0</v>
      </c>
      <c r="K149" s="222" t="s">
        <v>1</v>
      </c>
      <c r="L149" s="222" t="s">
        <v>2</v>
      </c>
      <c r="M149" s="222" t="s">
        <v>3</v>
      </c>
      <c r="N149" s="222" t="s">
        <v>4</v>
      </c>
      <c r="O149" s="222" t="s">
        <v>5</v>
      </c>
      <c r="P149" s="222" t="s">
        <v>6</v>
      </c>
      <c r="Q149" s="222" t="s">
        <v>7</v>
      </c>
      <c r="R149" s="222" t="s">
        <v>8</v>
      </c>
      <c r="S149" s="214" t="e">
        <f>'6a-Hierarchy'!#REF!</f>
        <v>#REF!</v>
      </c>
    </row>
    <row r="150" spans="1:19" ht="7.5" customHeight="1" thickBot="1">
      <c r="A150" s="215"/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5"/>
    </row>
    <row r="151" spans="1:19" ht="18.75" customHeight="1" thickBot="1">
      <c r="A151" s="217"/>
      <c r="B151" s="218"/>
      <c r="C151" s="218"/>
      <c r="D151" s="218"/>
      <c r="E151" s="218"/>
      <c r="F151" s="218"/>
      <c r="G151" s="219"/>
      <c r="H151" s="219"/>
      <c r="I151" s="220">
        <f>'1b-Sub-Performance'!A6</f>
        <v>0</v>
      </c>
      <c r="J151" s="219" t="s">
        <v>14</v>
      </c>
      <c r="K151" s="219" t="s">
        <v>16</v>
      </c>
      <c r="L151" s="219"/>
      <c r="M151" s="219"/>
      <c r="N151" s="218"/>
      <c r="O151" s="218"/>
      <c r="P151" s="218"/>
      <c r="Q151" s="218"/>
      <c r="R151" s="218"/>
      <c r="S151" s="221"/>
    </row>
    <row r="152" spans="1:19" ht="33.75" customHeight="1" thickBot="1">
      <c r="A152" s="231" t="s">
        <v>227</v>
      </c>
      <c r="B152" s="232" t="s">
        <v>222</v>
      </c>
      <c r="C152" s="233"/>
      <c r="D152" s="232" t="s">
        <v>223</v>
      </c>
      <c r="E152" s="233"/>
      <c r="F152" s="232" t="s">
        <v>224</v>
      </c>
      <c r="G152" s="233"/>
      <c r="H152" s="232" t="s">
        <v>225</v>
      </c>
      <c r="I152" s="233"/>
      <c r="J152" s="232" t="s">
        <v>226</v>
      </c>
      <c r="K152" s="233"/>
      <c r="L152" s="232" t="s">
        <v>225</v>
      </c>
      <c r="M152" s="233"/>
      <c r="N152" s="232" t="s">
        <v>224</v>
      </c>
      <c r="O152" s="233"/>
      <c r="P152" s="232" t="s">
        <v>223</v>
      </c>
      <c r="Q152" s="233"/>
      <c r="R152" s="232" t="s">
        <v>222</v>
      </c>
      <c r="S152" s="234" t="s">
        <v>227</v>
      </c>
    </row>
    <row r="153" spans="1:19" ht="17.100000000000001" customHeight="1">
      <c r="A153" s="201" t="str">
        <f>'6a-Hierarchy'!$D$4</f>
        <v>Original</v>
      </c>
      <c r="B153" s="169" t="s">
        <v>8</v>
      </c>
      <c r="C153" s="169" t="s">
        <v>7</v>
      </c>
      <c r="D153" s="169" t="s">
        <v>6</v>
      </c>
      <c r="E153" s="169" t="s">
        <v>5</v>
      </c>
      <c r="F153" s="169" t="s">
        <v>4</v>
      </c>
      <c r="G153" s="169" t="s">
        <v>3</v>
      </c>
      <c r="H153" s="169" t="s">
        <v>2</v>
      </c>
      <c r="I153" s="169" t="s">
        <v>1</v>
      </c>
      <c r="J153" s="169" t="s">
        <v>0</v>
      </c>
      <c r="K153" s="169" t="s">
        <v>1</v>
      </c>
      <c r="L153" s="169" t="s">
        <v>2</v>
      </c>
      <c r="M153" s="169" t="s">
        <v>3</v>
      </c>
      <c r="N153" s="169" t="s">
        <v>4</v>
      </c>
      <c r="O153" s="169" t="s">
        <v>5</v>
      </c>
      <c r="P153" s="169" t="s">
        <v>6</v>
      </c>
      <c r="Q153" s="169" t="s">
        <v>7</v>
      </c>
      <c r="R153" s="169" t="s">
        <v>8</v>
      </c>
      <c r="S153" s="170" t="str">
        <f>'6a-Hierarchy'!$E$4</f>
        <v>Alt.1</v>
      </c>
    </row>
    <row r="154" spans="1:19" ht="16.5" customHeight="1">
      <c r="A154" s="202"/>
      <c r="B154" s="46" t="s">
        <v>8</v>
      </c>
      <c r="C154" s="46" t="s">
        <v>7</v>
      </c>
      <c r="D154" s="46" t="s">
        <v>6</v>
      </c>
      <c r="E154" s="46" t="s">
        <v>5</v>
      </c>
      <c r="F154" s="46" t="s">
        <v>4</v>
      </c>
      <c r="G154" s="46" t="s">
        <v>3</v>
      </c>
      <c r="H154" s="46" t="s">
        <v>2</v>
      </c>
      <c r="I154" s="46" t="s">
        <v>1</v>
      </c>
      <c r="J154" s="46" t="s">
        <v>0</v>
      </c>
      <c r="K154" s="46" t="s">
        <v>1</v>
      </c>
      <c r="L154" s="46" t="s">
        <v>2</v>
      </c>
      <c r="M154" s="46" t="s">
        <v>3</v>
      </c>
      <c r="N154" s="46" t="s">
        <v>4</v>
      </c>
      <c r="O154" s="46" t="s">
        <v>5</v>
      </c>
      <c r="P154" s="46" t="s">
        <v>6</v>
      </c>
      <c r="Q154" s="46" t="s">
        <v>7</v>
      </c>
      <c r="R154" s="46" t="s">
        <v>8</v>
      </c>
      <c r="S154" s="203" t="str">
        <f>'6a-Hierarchy'!$F$4</f>
        <v>Alt.2</v>
      </c>
    </row>
    <row r="155" spans="1:19" ht="16.5" customHeight="1">
      <c r="A155" s="202"/>
      <c r="B155" s="46" t="s">
        <v>8</v>
      </c>
      <c r="C155" s="46" t="s">
        <v>7</v>
      </c>
      <c r="D155" s="46" t="s">
        <v>6</v>
      </c>
      <c r="E155" s="46" t="s">
        <v>5</v>
      </c>
      <c r="F155" s="46" t="s">
        <v>4</v>
      </c>
      <c r="G155" s="46" t="s">
        <v>3</v>
      </c>
      <c r="H155" s="46" t="s">
        <v>2</v>
      </c>
      <c r="I155" s="46" t="s">
        <v>1</v>
      </c>
      <c r="J155" s="46" t="s">
        <v>0</v>
      </c>
      <c r="K155" s="46" t="s">
        <v>1</v>
      </c>
      <c r="L155" s="46" t="s">
        <v>2</v>
      </c>
      <c r="M155" s="46" t="s">
        <v>3</v>
      </c>
      <c r="N155" s="46" t="s">
        <v>4</v>
      </c>
      <c r="O155" s="46" t="s">
        <v>5</v>
      </c>
      <c r="P155" s="46" t="s">
        <v>6</v>
      </c>
      <c r="Q155" s="46" t="s">
        <v>7</v>
      </c>
      <c r="R155" s="46" t="s">
        <v>8</v>
      </c>
      <c r="S155" s="203" t="str">
        <f>'6a-Hierarchy'!$G$4</f>
        <v>Alt.3</v>
      </c>
    </row>
    <row r="156" spans="1:19" ht="16.5" customHeight="1" thickBot="1">
      <c r="A156" s="205"/>
      <c r="B156" s="206" t="s">
        <v>8</v>
      </c>
      <c r="C156" s="206" t="s">
        <v>7</v>
      </c>
      <c r="D156" s="206" t="s">
        <v>6</v>
      </c>
      <c r="E156" s="206" t="s">
        <v>5</v>
      </c>
      <c r="F156" s="206" t="s">
        <v>4</v>
      </c>
      <c r="G156" s="206" t="s">
        <v>3</v>
      </c>
      <c r="H156" s="206" t="s">
        <v>2</v>
      </c>
      <c r="I156" s="206" t="s">
        <v>1</v>
      </c>
      <c r="J156" s="206" t="s">
        <v>0</v>
      </c>
      <c r="K156" s="206" t="s">
        <v>1</v>
      </c>
      <c r="L156" s="206" t="s">
        <v>2</v>
      </c>
      <c r="M156" s="206" t="s">
        <v>3</v>
      </c>
      <c r="N156" s="206" t="s">
        <v>4</v>
      </c>
      <c r="O156" s="206" t="s">
        <v>5</v>
      </c>
      <c r="P156" s="206" t="s">
        <v>6</v>
      </c>
      <c r="Q156" s="206" t="s">
        <v>7</v>
      </c>
      <c r="R156" s="206" t="s">
        <v>8</v>
      </c>
      <c r="S156" s="207" t="e">
        <f>'6a-Hierarchy'!#REF!</f>
        <v>#REF!</v>
      </c>
    </row>
    <row r="157" spans="1:19" ht="16.5" customHeight="1">
      <c r="A157" s="201" t="str">
        <f>'6a-Hierarchy'!$E$4</f>
        <v>Alt.1</v>
      </c>
      <c r="B157" s="169" t="s">
        <v>8</v>
      </c>
      <c r="C157" s="169" t="s">
        <v>7</v>
      </c>
      <c r="D157" s="169" t="s">
        <v>6</v>
      </c>
      <c r="E157" s="169" t="s">
        <v>5</v>
      </c>
      <c r="F157" s="169" t="s">
        <v>4</v>
      </c>
      <c r="G157" s="169" t="s">
        <v>3</v>
      </c>
      <c r="H157" s="169" t="s">
        <v>2</v>
      </c>
      <c r="I157" s="169" t="s">
        <v>1</v>
      </c>
      <c r="J157" s="169" t="s">
        <v>0</v>
      </c>
      <c r="K157" s="169" t="s">
        <v>1</v>
      </c>
      <c r="L157" s="169" t="s">
        <v>2</v>
      </c>
      <c r="M157" s="169" t="s">
        <v>3</v>
      </c>
      <c r="N157" s="169" t="s">
        <v>4</v>
      </c>
      <c r="O157" s="169" t="s">
        <v>5</v>
      </c>
      <c r="P157" s="169" t="s">
        <v>6</v>
      </c>
      <c r="Q157" s="169" t="s">
        <v>7</v>
      </c>
      <c r="R157" s="169" t="s">
        <v>8</v>
      </c>
      <c r="S157" s="170" t="str">
        <f>'6a-Hierarchy'!$F$4</f>
        <v>Alt.2</v>
      </c>
    </row>
    <row r="158" spans="1:19" ht="16.5" customHeight="1">
      <c r="A158" s="202"/>
      <c r="B158" s="46" t="s">
        <v>8</v>
      </c>
      <c r="C158" s="46" t="s">
        <v>7</v>
      </c>
      <c r="D158" s="46" t="s">
        <v>6</v>
      </c>
      <c r="E158" s="46" t="s">
        <v>5</v>
      </c>
      <c r="F158" s="46" t="s">
        <v>4</v>
      </c>
      <c r="G158" s="46" t="s">
        <v>3</v>
      </c>
      <c r="H158" s="46" t="s">
        <v>2</v>
      </c>
      <c r="I158" s="46" t="s">
        <v>1</v>
      </c>
      <c r="J158" s="46" t="s">
        <v>0</v>
      </c>
      <c r="K158" s="46" t="s">
        <v>1</v>
      </c>
      <c r="L158" s="46" t="s">
        <v>2</v>
      </c>
      <c r="M158" s="46" t="s">
        <v>3</v>
      </c>
      <c r="N158" s="46" t="s">
        <v>4</v>
      </c>
      <c r="O158" s="46" t="s">
        <v>5</v>
      </c>
      <c r="P158" s="46" t="s">
        <v>6</v>
      </c>
      <c r="Q158" s="46" t="s">
        <v>7</v>
      </c>
      <c r="R158" s="46" t="s">
        <v>8</v>
      </c>
      <c r="S158" s="203" t="str">
        <f>'6a-Hierarchy'!$G$4</f>
        <v>Alt.3</v>
      </c>
    </row>
    <row r="159" spans="1:19" ht="16.5" customHeight="1" thickBot="1">
      <c r="A159" s="205"/>
      <c r="B159" s="206" t="s">
        <v>8</v>
      </c>
      <c r="C159" s="206" t="s">
        <v>7</v>
      </c>
      <c r="D159" s="206" t="s">
        <v>6</v>
      </c>
      <c r="E159" s="206" t="s">
        <v>5</v>
      </c>
      <c r="F159" s="206" t="s">
        <v>4</v>
      </c>
      <c r="G159" s="206" t="s">
        <v>3</v>
      </c>
      <c r="H159" s="206" t="s">
        <v>2</v>
      </c>
      <c r="I159" s="206" t="s">
        <v>1</v>
      </c>
      <c r="J159" s="206" t="s">
        <v>0</v>
      </c>
      <c r="K159" s="206" t="s">
        <v>1</v>
      </c>
      <c r="L159" s="206" t="s">
        <v>2</v>
      </c>
      <c r="M159" s="206" t="s">
        <v>3</v>
      </c>
      <c r="N159" s="206" t="s">
        <v>4</v>
      </c>
      <c r="O159" s="206" t="s">
        <v>5</v>
      </c>
      <c r="P159" s="206" t="s">
        <v>6</v>
      </c>
      <c r="Q159" s="206" t="s">
        <v>7</v>
      </c>
      <c r="R159" s="206" t="s">
        <v>8</v>
      </c>
      <c r="S159" s="207" t="e">
        <f>'6a-Hierarchy'!#REF!</f>
        <v>#REF!</v>
      </c>
    </row>
    <row r="160" spans="1:19" ht="16.5" customHeight="1">
      <c r="A160" s="201" t="str">
        <f>'6a-Hierarchy'!$F$4</f>
        <v>Alt.2</v>
      </c>
      <c r="B160" s="169" t="s">
        <v>8</v>
      </c>
      <c r="C160" s="169" t="s">
        <v>7</v>
      </c>
      <c r="D160" s="169" t="s">
        <v>6</v>
      </c>
      <c r="E160" s="169" t="s">
        <v>5</v>
      </c>
      <c r="F160" s="169" t="s">
        <v>4</v>
      </c>
      <c r="G160" s="169" t="s">
        <v>3</v>
      </c>
      <c r="H160" s="169" t="s">
        <v>2</v>
      </c>
      <c r="I160" s="169" t="s">
        <v>1</v>
      </c>
      <c r="J160" s="169" t="s">
        <v>0</v>
      </c>
      <c r="K160" s="169" t="s">
        <v>1</v>
      </c>
      <c r="L160" s="169" t="s">
        <v>2</v>
      </c>
      <c r="M160" s="169" t="s">
        <v>3</v>
      </c>
      <c r="N160" s="169" t="s">
        <v>4</v>
      </c>
      <c r="O160" s="169" t="s">
        <v>5</v>
      </c>
      <c r="P160" s="169" t="s">
        <v>6</v>
      </c>
      <c r="Q160" s="169" t="s">
        <v>7</v>
      </c>
      <c r="R160" s="169" t="s">
        <v>8</v>
      </c>
      <c r="S160" s="170" t="str">
        <f>'6a-Hierarchy'!$G$4</f>
        <v>Alt.3</v>
      </c>
    </row>
    <row r="161" spans="1:19" ht="16.5" customHeight="1" thickBot="1">
      <c r="A161" s="205"/>
      <c r="B161" s="206" t="s">
        <v>8</v>
      </c>
      <c r="C161" s="206" t="s">
        <v>7</v>
      </c>
      <c r="D161" s="206" t="s">
        <v>6</v>
      </c>
      <c r="E161" s="206" t="s">
        <v>5</v>
      </c>
      <c r="F161" s="206" t="s">
        <v>4</v>
      </c>
      <c r="G161" s="206" t="s">
        <v>3</v>
      </c>
      <c r="H161" s="206" t="s">
        <v>2</v>
      </c>
      <c r="I161" s="206" t="s">
        <v>1</v>
      </c>
      <c r="J161" s="206" t="s">
        <v>0</v>
      </c>
      <c r="K161" s="206" t="s">
        <v>1</v>
      </c>
      <c r="L161" s="206" t="s">
        <v>2</v>
      </c>
      <c r="M161" s="206" t="s">
        <v>3</v>
      </c>
      <c r="N161" s="206" t="s">
        <v>4</v>
      </c>
      <c r="O161" s="206" t="s">
        <v>5</v>
      </c>
      <c r="P161" s="206" t="s">
        <v>6</v>
      </c>
      <c r="Q161" s="206" t="s">
        <v>7</v>
      </c>
      <c r="R161" s="206" t="s">
        <v>8</v>
      </c>
      <c r="S161" s="207" t="e">
        <f>'6a-Hierarchy'!#REF!</f>
        <v>#REF!</v>
      </c>
    </row>
    <row r="162" spans="1:19" ht="16.5" customHeight="1" thickBot="1">
      <c r="A162" s="213" t="str">
        <f>'6a-Hierarchy'!$G$4</f>
        <v>Alt.3</v>
      </c>
      <c r="B162" s="222" t="s">
        <v>8</v>
      </c>
      <c r="C162" s="222" t="s">
        <v>7</v>
      </c>
      <c r="D162" s="222" t="s">
        <v>6</v>
      </c>
      <c r="E162" s="222" t="s">
        <v>5</v>
      </c>
      <c r="F162" s="222" t="s">
        <v>4</v>
      </c>
      <c r="G162" s="222" t="s">
        <v>3</v>
      </c>
      <c r="H162" s="222" t="s">
        <v>2</v>
      </c>
      <c r="I162" s="222" t="s">
        <v>1</v>
      </c>
      <c r="J162" s="222" t="s">
        <v>0</v>
      </c>
      <c r="K162" s="222" t="s">
        <v>1</v>
      </c>
      <c r="L162" s="222" t="s">
        <v>2</v>
      </c>
      <c r="M162" s="222" t="s">
        <v>3</v>
      </c>
      <c r="N162" s="222" t="s">
        <v>4</v>
      </c>
      <c r="O162" s="222" t="s">
        <v>5</v>
      </c>
      <c r="P162" s="222" t="s">
        <v>6</v>
      </c>
      <c r="Q162" s="222" t="s">
        <v>7</v>
      </c>
      <c r="R162" s="222" t="s">
        <v>8</v>
      </c>
      <c r="S162" s="214" t="e">
        <f>'6a-Hierarchy'!#REF!</f>
        <v>#REF!</v>
      </c>
    </row>
    <row r="163" spans="1:19" ht="7.5" customHeight="1" thickBot="1">
      <c r="A163" s="215"/>
      <c r="B163" s="216"/>
      <c r="C163" s="216"/>
      <c r="D163" s="216"/>
      <c r="E163" s="216"/>
      <c r="F163" s="216"/>
      <c r="G163" s="216"/>
      <c r="H163" s="216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5"/>
    </row>
    <row r="164" spans="1:19" ht="18.75" customHeight="1" thickBot="1">
      <c r="A164" s="217"/>
      <c r="B164" s="218"/>
      <c r="C164" s="218"/>
      <c r="D164" s="218"/>
      <c r="E164" s="218"/>
      <c r="F164" s="218"/>
      <c r="G164" s="219"/>
      <c r="H164" s="219"/>
      <c r="I164" s="220">
        <f>'1b-Sub-Performance'!A7</f>
        <v>0</v>
      </c>
      <c r="J164" s="219" t="s">
        <v>14</v>
      </c>
      <c r="K164" s="219" t="s">
        <v>16</v>
      </c>
      <c r="L164" s="219"/>
      <c r="M164" s="219"/>
      <c r="N164" s="218"/>
      <c r="O164" s="218"/>
      <c r="P164" s="218"/>
      <c r="Q164" s="218"/>
      <c r="R164" s="218"/>
      <c r="S164" s="221"/>
    </row>
    <row r="165" spans="1:19" ht="33.75" customHeight="1" thickBot="1">
      <c r="A165" s="231" t="s">
        <v>227</v>
      </c>
      <c r="B165" s="232" t="s">
        <v>222</v>
      </c>
      <c r="C165" s="233"/>
      <c r="D165" s="232" t="s">
        <v>223</v>
      </c>
      <c r="E165" s="233"/>
      <c r="F165" s="232" t="s">
        <v>224</v>
      </c>
      <c r="G165" s="233"/>
      <c r="H165" s="232" t="s">
        <v>225</v>
      </c>
      <c r="I165" s="233"/>
      <c r="J165" s="232" t="s">
        <v>226</v>
      </c>
      <c r="K165" s="233"/>
      <c r="L165" s="232" t="s">
        <v>225</v>
      </c>
      <c r="M165" s="233"/>
      <c r="N165" s="232" t="s">
        <v>224</v>
      </c>
      <c r="O165" s="233"/>
      <c r="P165" s="232" t="s">
        <v>223</v>
      </c>
      <c r="Q165" s="233"/>
      <c r="R165" s="232" t="s">
        <v>222</v>
      </c>
      <c r="S165" s="234" t="s">
        <v>227</v>
      </c>
    </row>
    <row r="166" spans="1:19" ht="17.100000000000001" customHeight="1">
      <c r="A166" s="201" t="str">
        <f>'6a-Hierarchy'!$D$4</f>
        <v>Original</v>
      </c>
      <c r="B166" s="169" t="s">
        <v>8</v>
      </c>
      <c r="C166" s="169" t="s">
        <v>7</v>
      </c>
      <c r="D166" s="169" t="s">
        <v>6</v>
      </c>
      <c r="E166" s="169" t="s">
        <v>5</v>
      </c>
      <c r="F166" s="169" t="s">
        <v>4</v>
      </c>
      <c r="G166" s="169" t="s">
        <v>3</v>
      </c>
      <c r="H166" s="169" t="s">
        <v>2</v>
      </c>
      <c r="I166" s="169" t="s">
        <v>1</v>
      </c>
      <c r="J166" s="169" t="s">
        <v>0</v>
      </c>
      <c r="K166" s="169" t="s">
        <v>1</v>
      </c>
      <c r="L166" s="169" t="s">
        <v>2</v>
      </c>
      <c r="M166" s="169" t="s">
        <v>3</v>
      </c>
      <c r="N166" s="169" t="s">
        <v>4</v>
      </c>
      <c r="O166" s="169" t="s">
        <v>5</v>
      </c>
      <c r="P166" s="169" t="s">
        <v>6</v>
      </c>
      <c r="Q166" s="169" t="s">
        <v>7</v>
      </c>
      <c r="R166" s="169" t="s">
        <v>8</v>
      </c>
      <c r="S166" s="170" t="str">
        <f>'6a-Hierarchy'!$E$4</f>
        <v>Alt.1</v>
      </c>
    </row>
    <row r="167" spans="1:19" ht="16.5" customHeight="1">
      <c r="A167" s="202"/>
      <c r="B167" s="46" t="s">
        <v>8</v>
      </c>
      <c r="C167" s="46" t="s">
        <v>7</v>
      </c>
      <c r="D167" s="46" t="s">
        <v>6</v>
      </c>
      <c r="E167" s="46" t="s">
        <v>5</v>
      </c>
      <c r="F167" s="46" t="s">
        <v>4</v>
      </c>
      <c r="G167" s="46" t="s">
        <v>3</v>
      </c>
      <c r="H167" s="46" t="s">
        <v>2</v>
      </c>
      <c r="I167" s="46" t="s">
        <v>1</v>
      </c>
      <c r="J167" s="46" t="s">
        <v>0</v>
      </c>
      <c r="K167" s="46" t="s">
        <v>1</v>
      </c>
      <c r="L167" s="46" t="s">
        <v>2</v>
      </c>
      <c r="M167" s="46" t="s">
        <v>3</v>
      </c>
      <c r="N167" s="46" t="s">
        <v>4</v>
      </c>
      <c r="O167" s="46" t="s">
        <v>5</v>
      </c>
      <c r="P167" s="46" t="s">
        <v>6</v>
      </c>
      <c r="Q167" s="46" t="s">
        <v>7</v>
      </c>
      <c r="R167" s="46" t="s">
        <v>8</v>
      </c>
      <c r="S167" s="203" t="str">
        <f>'6a-Hierarchy'!$F$4</f>
        <v>Alt.2</v>
      </c>
    </row>
    <row r="168" spans="1:19" ht="16.5" customHeight="1">
      <c r="A168" s="202"/>
      <c r="B168" s="46" t="s">
        <v>8</v>
      </c>
      <c r="C168" s="46" t="s">
        <v>7</v>
      </c>
      <c r="D168" s="46" t="s">
        <v>6</v>
      </c>
      <c r="E168" s="46" t="s">
        <v>5</v>
      </c>
      <c r="F168" s="46" t="s">
        <v>4</v>
      </c>
      <c r="G168" s="46" t="s">
        <v>3</v>
      </c>
      <c r="H168" s="46" t="s">
        <v>2</v>
      </c>
      <c r="I168" s="46" t="s">
        <v>1</v>
      </c>
      <c r="J168" s="46" t="s">
        <v>0</v>
      </c>
      <c r="K168" s="46" t="s">
        <v>1</v>
      </c>
      <c r="L168" s="46" t="s">
        <v>2</v>
      </c>
      <c r="M168" s="46" t="s">
        <v>3</v>
      </c>
      <c r="N168" s="46" t="s">
        <v>4</v>
      </c>
      <c r="O168" s="46" t="s">
        <v>5</v>
      </c>
      <c r="P168" s="46" t="s">
        <v>6</v>
      </c>
      <c r="Q168" s="46" t="s">
        <v>7</v>
      </c>
      <c r="R168" s="46" t="s">
        <v>8</v>
      </c>
      <c r="S168" s="203" t="str">
        <f>'6a-Hierarchy'!$G$4</f>
        <v>Alt.3</v>
      </c>
    </row>
    <row r="169" spans="1:19" ht="16.5" customHeight="1" thickBot="1">
      <c r="A169" s="205"/>
      <c r="B169" s="206" t="s">
        <v>8</v>
      </c>
      <c r="C169" s="206" t="s">
        <v>7</v>
      </c>
      <c r="D169" s="206" t="s">
        <v>6</v>
      </c>
      <c r="E169" s="206" t="s">
        <v>5</v>
      </c>
      <c r="F169" s="206" t="s">
        <v>4</v>
      </c>
      <c r="G169" s="206" t="s">
        <v>3</v>
      </c>
      <c r="H169" s="206" t="s">
        <v>2</v>
      </c>
      <c r="I169" s="206" t="s">
        <v>1</v>
      </c>
      <c r="J169" s="206" t="s">
        <v>0</v>
      </c>
      <c r="K169" s="206" t="s">
        <v>1</v>
      </c>
      <c r="L169" s="206" t="s">
        <v>2</v>
      </c>
      <c r="M169" s="206" t="s">
        <v>3</v>
      </c>
      <c r="N169" s="206" t="s">
        <v>4</v>
      </c>
      <c r="O169" s="206" t="s">
        <v>5</v>
      </c>
      <c r="P169" s="206" t="s">
        <v>6</v>
      </c>
      <c r="Q169" s="206" t="s">
        <v>7</v>
      </c>
      <c r="R169" s="206" t="s">
        <v>8</v>
      </c>
      <c r="S169" s="207" t="e">
        <f>'6a-Hierarchy'!#REF!</f>
        <v>#REF!</v>
      </c>
    </row>
    <row r="170" spans="1:19" ht="16.5" customHeight="1">
      <c r="A170" s="201" t="str">
        <f>'6a-Hierarchy'!$E$4</f>
        <v>Alt.1</v>
      </c>
      <c r="B170" s="169" t="s">
        <v>8</v>
      </c>
      <c r="C170" s="169" t="s">
        <v>7</v>
      </c>
      <c r="D170" s="169" t="s">
        <v>6</v>
      </c>
      <c r="E170" s="169" t="s">
        <v>5</v>
      </c>
      <c r="F170" s="169" t="s">
        <v>4</v>
      </c>
      <c r="G170" s="169" t="s">
        <v>3</v>
      </c>
      <c r="H170" s="169" t="s">
        <v>2</v>
      </c>
      <c r="I170" s="169" t="s">
        <v>1</v>
      </c>
      <c r="J170" s="169" t="s">
        <v>0</v>
      </c>
      <c r="K170" s="169" t="s">
        <v>1</v>
      </c>
      <c r="L170" s="169" t="s">
        <v>2</v>
      </c>
      <c r="M170" s="169" t="s">
        <v>3</v>
      </c>
      <c r="N170" s="169" t="s">
        <v>4</v>
      </c>
      <c r="O170" s="169" t="s">
        <v>5</v>
      </c>
      <c r="P170" s="169" t="s">
        <v>6</v>
      </c>
      <c r="Q170" s="169" t="s">
        <v>7</v>
      </c>
      <c r="R170" s="169" t="s">
        <v>8</v>
      </c>
      <c r="S170" s="170" t="str">
        <f>'6a-Hierarchy'!$F$4</f>
        <v>Alt.2</v>
      </c>
    </row>
    <row r="171" spans="1:19" ht="16.5" customHeight="1">
      <c r="A171" s="202"/>
      <c r="B171" s="46" t="s">
        <v>8</v>
      </c>
      <c r="C171" s="46" t="s">
        <v>7</v>
      </c>
      <c r="D171" s="46" t="s">
        <v>6</v>
      </c>
      <c r="E171" s="46" t="s">
        <v>5</v>
      </c>
      <c r="F171" s="46" t="s">
        <v>4</v>
      </c>
      <c r="G171" s="46" t="s">
        <v>3</v>
      </c>
      <c r="H171" s="46" t="s">
        <v>2</v>
      </c>
      <c r="I171" s="46" t="s">
        <v>1</v>
      </c>
      <c r="J171" s="46" t="s">
        <v>0</v>
      </c>
      <c r="K171" s="46" t="s">
        <v>1</v>
      </c>
      <c r="L171" s="46" t="s">
        <v>2</v>
      </c>
      <c r="M171" s="46" t="s">
        <v>3</v>
      </c>
      <c r="N171" s="46" t="s">
        <v>4</v>
      </c>
      <c r="O171" s="46" t="s">
        <v>5</v>
      </c>
      <c r="P171" s="46" t="s">
        <v>6</v>
      </c>
      <c r="Q171" s="46" t="s">
        <v>7</v>
      </c>
      <c r="R171" s="46" t="s">
        <v>8</v>
      </c>
      <c r="S171" s="203" t="str">
        <f>'6a-Hierarchy'!$G$4</f>
        <v>Alt.3</v>
      </c>
    </row>
    <row r="172" spans="1:19" ht="16.5" customHeight="1" thickBot="1">
      <c r="A172" s="205"/>
      <c r="B172" s="206" t="s">
        <v>8</v>
      </c>
      <c r="C172" s="206" t="s">
        <v>7</v>
      </c>
      <c r="D172" s="206" t="s">
        <v>6</v>
      </c>
      <c r="E172" s="206" t="s">
        <v>5</v>
      </c>
      <c r="F172" s="206" t="s">
        <v>4</v>
      </c>
      <c r="G172" s="206" t="s">
        <v>3</v>
      </c>
      <c r="H172" s="206" t="s">
        <v>2</v>
      </c>
      <c r="I172" s="206" t="s">
        <v>1</v>
      </c>
      <c r="J172" s="206" t="s">
        <v>0</v>
      </c>
      <c r="K172" s="206" t="s">
        <v>1</v>
      </c>
      <c r="L172" s="206" t="s">
        <v>2</v>
      </c>
      <c r="M172" s="206" t="s">
        <v>3</v>
      </c>
      <c r="N172" s="206" t="s">
        <v>4</v>
      </c>
      <c r="O172" s="206" t="s">
        <v>5</v>
      </c>
      <c r="P172" s="206" t="s">
        <v>6</v>
      </c>
      <c r="Q172" s="206" t="s">
        <v>7</v>
      </c>
      <c r="R172" s="206" t="s">
        <v>8</v>
      </c>
      <c r="S172" s="207" t="e">
        <f>'6a-Hierarchy'!#REF!</f>
        <v>#REF!</v>
      </c>
    </row>
    <row r="173" spans="1:19" ht="16.5" customHeight="1">
      <c r="A173" s="201" t="str">
        <f>'6a-Hierarchy'!$F$4</f>
        <v>Alt.2</v>
      </c>
      <c r="B173" s="169" t="s">
        <v>8</v>
      </c>
      <c r="C173" s="169" t="s">
        <v>7</v>
      </c>
      <c r="D173" s="169" t="s">
        <v>6</v>
      </c>
      <c r="E173" s="169" t="s">
        <v>5</v>
      </c>
      <c r="F173" s="169" t="s">
        <v>4</v>
      </c>
      <c r="G173" s="169" t="s">
        <v>3</v>
      </c>
      <c r="H173" s="169" t="s">
        <v>2</v>
      </c>
      <c r="I173" s="169" t="s">
        <v>1</v>
      </c>
      <c r="J173" s="169" t="s">
        <v>0</v>
      </c>
      <c r="K173" s="169" t="s">
        <v>1</v>
      </c>
      <c r="L173" s="169" t="s">
        <v>2</v>
      </c>
      <c r="M173" s="169" t="s">
        <v>3</v>
      </c>
      <c r="N173" s="169" t="s">
        <v>4</v>
      </c>
      <c r="O173" s="169" t="s">
        <v>5</v>
      </c>
      <c r="P173" s="169" t="s">
        <v>6</v>
      </c>
      <c r="Q173" s="169" t="s">
        <v>7</v>
      </c>
      <c r="R173" s="169" t="s">
        <v>8</v>
      </c>
      <c r="S173" s="170" t="str">
        <f>'6a-Hierarchy'!$G$4</f>
        <v>Alt.3</v>
      </c>
    </row>
    <row r="174" spans="1:19" ht="16.5" customHeight="1" thickBot="1">
      <c r="A174" s="205"/>
      <c r="B174" s="206" t="s">
        <v>8</v>
      </c>
      <c r="C174" s="206" t="s">
        <v>7</v>
      </c>
      <c r="D174" s="206" t="s">
        <v>6</v>
      </c>
      <c r="E174" s="206" t="s">
        <v>5</v>
      </c>
      <c r="F174" s="206" t="s">
        <v>4</v>
      </c>
      <c r="G174" s="206" t="s">
        <v>3</v>
      </c>
      <c r="H174" s="206" t="s">
        <v>2</v>
      </c>
      <c r="I174" s="206" t="s">
        <v>1</v>
      </c>
      <c r="J174" s="206" t="s">
        <v>0</v>
      </c>
      <c r="K174" s="206" t="s">
        <v>1</v>
      </c>
      <c r="L174" s="206" t="s">
        <v>2</v>
      </c>
      <c r="M174" s="206" t="s">
        <v>3</v>
      </c>
      <c r="N174" s="206" t="s">
        <v>4</v>
      </c>
      <c r="O174" s="206" t="s">
        <v>5</v>
      </c>
      <c r="P174" s="206" t="s">
        <v>6</v>
      </c>
      <c r="Q174" s="206" t="s">
        <v>7</v>
      </c>
      <c r="R174" s="206" t="s">
        <v>8</v>
      </c>
      <c r="S174" s="207" t="e">
        <f>'6a-Hierarchy'!#REF!</f>
        <v>#REF!</v>
      </c>
    </row>
    <row r="175" spans="1:19" ht="16.5" customHeight="1" thickBot="1">
      <c r="A175" s="213" t="str">
        <f>'6a-Hierarchy'!$G$4</f>
        <v>Alt.3</v>
      </c>
      <c r="B175" s="222" t="s">
        <v>8</v>
      </c>
      <c r="C175" s="222" t="s">
        <v>7</v>
      </c>
      <c r="D175" s="222" t="s">
        <v>6</v>
      </c>
      <c r="E175" s="222" t="s">
        <v>5</v>
      </c>
      <c r="F175" s="222" t="s">
        <v>4</v>
      </c>
      <c r="G175" s="222" t="s">
        <v>3</v>
      </c>
      <c r="H175" s="222" t="s">
        <v>2</v>
      </c>
      <c r="I175" s="222" t="s">
        <v>1</v>
      </c>
      <c r="J175" s="222" t="s">
        <v>0</v>
      </c>
      <c r="K175" s="222" t="s">
        <v>1</v>
      </c>
      <c r="L175" s="222" t="s">
        <v>2</v>
      </c>
      <c r="M175" s="222" t="s">
        <v>3</v>
      </c>
      <c r="N175" s="222" t="s">
        <v>4</v>
      </c>
      <c r="O175" s="222" t="s">
        <v>5</v>
      </c>
      <c r="P175" s="222" t="s">
        <v>6</v>
      </c>
      <c r="Q175" s="222" t="s">
        <v>7</v>
      </c>
      <c r="R175" s="222" t="s">
        <v>8</v>
      </c>
      <c r="S175" s="214" t="e">
        <f>'6a-Hierarchy'!#REF!</f>
        <v>#REF!</v>
      </c>
    </row>
    <row r="176" spans="1:19" ht="7.5" customHeight="1" thickBot="1">
      <c r="A176" s="215"/>
      <c r="B176" s="216"/>
      <c r="C176" s="216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5"/>
    </row>
    <row r="177" spans="1:19" ht="18.75" customHeight="1" thickBot="1">
      <c r="A177" s="217"/>
      <c r="B177" s="218"/>
      <c r="C177" s="218"/>
      <c r="D177" s="218"/>
      <c r="E177" s="218"/>
      <c r="F177" s="218"/>
      <c r="G177" s="219"/>
      <c r="H177" s="219"/>
      <c r="I177" s="220" t="e">
        <f>'1b-Sub-Performance'!#REF!</f>
        <v>#REF!</v>
      </c>
      <c r="J177" s="219" t="s">
        <v>14</v>
      </c>
      <c r="K177" s="219" t="s">
        <v>16</v>
      </c>
      <c r="L177" s="219"/>
      <c r="M177" s="219"/>
      <c r="N177" s="218"/>
      <c r="O177" s="218"/>
      <c r="P177" s="218"/>
      <c r="Q177" s="218"/>
      <c r="R177" s="218"/>
      <c r="S177" s="221"/>
    </row>
    <row r="178" spans="1:19" ht="33.75" customHeight="1" thickBot="1">
      <c r="A178" s="231" t="s">
        <v>227</v>
      </c>
      <c r="B178" s="232" t="s">
        <v>222</v>
      </c>
      <c r="C178" s="233"/>
      <c r="D178" s="232" t="s">
        <v>223</v>
      </c>
      <c r="E178" s="233"/>
      <c r="F178" s="232" t="s">
        <v>224</v>
      </c>
      <c r="G178" s="233"/>
      <c r="H178" s="232" t="s">
        <v>225</v>
      </c>
      <c r="I178" s="233"/>
      <c r="J178" s="232" t="s">
        <v>226</v>
      </c>
      <c r="K178" s="233"/>
      <c r="L178" s="232" t="s">
        <v>225</v>
      </c>
      <c r="M178" s="233"/>
      <c r="N178" s="232" t="s">
        <v>224</v>
      </c>
      <c r="O178" s="233"/>
      <c r="P178" s="232" t="s">
        <v>223</v>
      </c>
      <c r="Q178" s="233"/>
      <c r="R178" s="232" t="s">
        <v>222</v>
      </c>
      <c r="S178" s="234" t="s">
        <v>227</v>
      </c>
    </row>
    <row r="179" spans="1:19" ht="17.100000000000001" customHeight="1">
      <c r="A179" s="201" t="str">
        <f>'6a-Hierarchy'!$D$4</f>
        <v>Original</v>
      </c>
      <c r="B179" s="169" t="s">
        <v>8</v>
      </c>
      <c r="C179" s="169" t="s">
        <v>7</v>
      </c>
      <c r="D179" s="169" t="s">
        <v>6</v>
      </c>
      <c r="E179" s="169" t="s">
        <v>5</v>
      </c>
      <c r="F179" s="169" t="s">
        <v>4</v>
      </c>
      <c r="G179" s="169" t="s">
        <v>3</v>
      </c>
      <c r="H179" s="169" t="s">
        <v>2</v>
      </c>
      <c r="I179" s="169" t="s">
        <v>1</v>
      </c>
      <c r="J179" s="169" t="s">
        <v>0</v>
      </c>
      <c r="K179" s="169" t="s">
        <v>1</v>
      </c>
      <c r="L179" s="169" t="s">
        <v>2</v>
      </c>
      <c r="M179" s="169" t="s">
        <v>3</v>
      </c>
      <c r="N179" s="169" t="s">
        <v>4</v>
      </c>
      <c r="O179" s="169" t="s">
        <v>5</v>
      </c>
      <c r="P179" s="169" t="s">
        <v>6</v>
      </c>
      <c r="Q179" s="169" t="s">
        <v>7</v>
      </c>
      <c r="R179" s="169" t="s">
        <v>8</v>
      </c>
      <c r="S179" s="170" t="str">
        <f>'6a-Hierarchy'!$E$4</f>
        <v>Alt.1</v>
      </c>
    </row>
    <row r="180" spans="1:19" ht="16.5" customHeight="1">
      <c r="A180" s="202"/>
      <c r="B180" s="46" t="s">
        <v>8</v>
      </c>
      <c r="C180" s="46" t="s">
        <v>7</v>
      </c>
      <c r="D180" s="46" t="s">
        <v>6</v>
      </c>
      <c r="E180" s="46" t="s">
        <v>5</v>
      </c>
      <c r="F180" s="46" t="s">
        <v>4</v>
      </c>
      <c r="G180" s="46" t="s">
        <v>3</v>
      </c>
      <c r="H180" s="46" t="s">
        <v>2</v>
      </c>
      <c r="I180" s="46" t="s">
        <v>1</v>
      </c>
      <c r="J180" s="46" t="s">
        <v>0</v>
      </c>
      <c r="K180" s="46" t="s">
        <v>1</v>
      </c>
      <c r="L180" s="46" t="s">
        <v>2</v>
      </c>
      <c r="M180" s="46" t="s">
        <v>3</v>
      </c>
      <c r="N180" s="46" t="s">
        <v>4</v>
      </c>
      <c r="O180" s="46" t="s">
        <v>5</v>
      </c>
      <c r="P180" s="46" t="s">
        <v>6</v>
      </c>
      <c r="Q180" s="46" t="s">
        <v>7</v>
      </c>
      <c r="R180" s="46" t="s">
        <v>8</v>
      </c>
      <c r="S180" s="203" t="str">
        <f>'6a-Hierarchy'!$F$4</f>
        <v>Alt.2</v>
      </c>
    </row>
    <row r="181" spans="1:19" ht="16.5" customHeight="1">
      <c r="A181" s="202"/>
      <c r="B181" s="46" t="s">
        <v>8</v>
      </c>
      <c r="C181" s="46" t="s">
        <v>7</v>
      </c>
      <c r="D181" s="46" t="s">
        <v>6</v>
      </c>
      <c r="E181" s="46" t="s">
        <v>5</v>
      </c>
      <c r="F181" s="46" t="s">
        <v>4</v>
      </c>
      <c r="G181" s="46" t="s">
        <v>3</v>
      </c>
      <c r="H181" s="46" t="s">
        <v>2</v>
      </c>
      <c r="I181" s="46" t="s">
        <v>1</v>
      </c>
      <c r="J181" s="46" t="s">
        <v>0</v>
      </c>
      <c r="K181" s="46" t="s">
        <v>1</v>
      </c>
      <c r="L181" s="46" t="s">
        <v>2</v>
      </c>
      <c r="M181" s="46" t="s">
        <v>3</v>
      </c>
      <c r="N181" s="46" t="s">
        <v>4</v>
      </c>
      <c r="O181" s="46" t="s">
        <v>5</v>
      </c>
      <c r="P181" s="46" t="s">
        <v>6</v>
      </c>
      <c r="Q181" s="46" t="s">
        <v>7</v>
      </c>
      <c r="R181" s="46" t="s">
        <v>8</v>
      </c>
      <c r="S181" s="203" t="str">
        <f>'6a-Hierarchy'!$G$4</f>
        <v>Alt.3</v>
      </c>
    </row>
    <row r="182" spans="1:19" ht="16.5" customHeight="1" thickBot="1">
      <c r="A182" s="205"/>
      <c r="B182" s="206" t="s">
        <v>8</v>
      </c>
      <c r="C182" s="206" t="s">
        <v>7</v>
      </c>
      <c r="D182" s="206" t="s">
        <v>6</v>
      </c>
      <c r="E182" s="206" t="s">
        <v>5</v>
      </c>
      <c r="F182" s="206" t="s">
        <v>4</v>
      </c>
      <c r="G182" s="206" t="s">
        <v>3</v>
      </c>
      <c r="H182" s="206" t="s">
        <v>2</v>
      </c>
      <c r="I182" s="206" t="s">
        <v>1</v>
      </c>
      <c r="J182" s="206" t="s">
        <v>0</v>
      </c>
      <c r="K182" s="206" t="s">
        <v>1</v>
      </c>
      <c r="L182" s="206" t="s">
        <v>2</v>
      </c>
      <c r="M182" s="206" t="s">
        <v>3</v>
      </c>
      <c r="N182" s="206" t="s">
        <v>4</v>
      </c>
      <c r="O182" s="206" t="s">
        <v>5</v>
      </c>
      <c r="P182" s="206" t="s">
        <v>6</v>
      </c>
      <c r="Q182" s="206" t="s">
        <v>7</v>
      </c>
      <c r="R182" s="206" t="s">
        <v>8</v>
      </c>
      <c r="S182" s="207" t="e">
        <f>'6a-Hierarchy'!#REF!</f>
        <v>#REF!</v>
      </c>
    </row>
    <row r="183" spans="1:19" ht="16.5" customHeight="1">
      <c r="A183" s="201" t="str">
        <f>'6a-Hierarchy'!$E$4</f>
        <v>Alt.1</v>
      </c>
      <c r="B183" s="169" t="s">
        <v>8</v>
      </c>
      <c r="C183" s="169" t="s">
        <v>7</v>
      </c>
      <c r="D183" s="169" t="s">
        <v>6</v>
      </c>
      <c r="E183" s="169" t="s">
        <v>5</v>
      </c>
      <c r="F183" s="169" t="s">
        <v>4</v>
      </c>
      <c r="G183" s="169" t="s">
        <v>3</v>
      </c>
      <c r="H183" s="169" t="s">
        <v>2</v>
      </c>
      <c r="I183" s="169" t="s">
        <v>1</v>
      </c>
      <c r="J183" s="169" t="s">
        <v>0</v>
      </c>
      <c r="K183" s="169" t="s">
        <v>1</v>
      </c>
      <c r="L183" s="169" t="s">
        <v>2</v>
      </c>
      <c r="M183" s="169" t="s">
        <v>3</v>
      </c>
      <c r="N183" s="169" t="s">
        <v>4</v>
      </c>
      <c r="O183" s="169" t="s">
        <v>5</v>
      </c>
      <c r="P183" s="169" t="s">
        <v>6</v>
      </c>
      <c r="Q183" s="169" t="s">
        <v>7</v>
      </c>
      <c r="R183" s="169" t="s">
        <v>8</v>
      </c>
      <c r="S183" s="170" t="str">
        <f>'6a-Hierarchy'!$F$4</f>
        <v>Alt.2</v>
      </c>
    </row>
    <row r="184" spans="1:19" ht="16.5" customHeight="1">
      <c r="A184" s="202"/>
      <c r="B184" s="46" t="s">
        <v>8</v>
      </c>
      <c r="C184" s="46" t="s">
        <v>7</v>
      </c>
      <c r="D184" s="46" t="s">
        <v>6</v>
      </c>
      <c r="E184" s="46" t="s">
        <v>5</v>
      </c>
      <c r="F184" s="46" t="s">
        <v>4</v>
      </c>
      <c r="G184" s="46" t="s">
        <v>3</v>
      </c>
      <c r="H184" s="46" t="s">
        <v>2</v>
      </c>
      <c r="I184" s="46" t="s">
        <v>1</v>
      </c>
      <c r="J184" s="46" t="s">
        <v>0</v>
      </c>
      <c r="K184" s="46" t="s">
        <v>1</v>
      </c>
      <c r="L184" s="46" t="s">
        <v>2</v>
      </c>
      <c r="M184" s="46" t="s">
        <v>3</v>
      </c>
      <c r="N184" s="46" t="s">
        <v>4</v>
      </c>
      <c r="O184" s="46" t="s">
        <v>5</v>
      </c>
      <c r="P184" s="46" t="s">
        <v>6</v>
      </c>
      <c r="Q184" s="46" t="s">
        <v>7</v>
      </c>
      <c r="R184" s="46" t="s">
        <v>8</v>
      </c>
      <c r="S184" s="203" t="str">
        <f>'6a-Hierarchy'!$G$4</f>
        <v>Alt.3</v>
      </c>
    </row>
    <row r="185" spans="1:19" ht="16.5" customHeight="1" thickBot="1">
      <c r="A185" s="205"/>
      <c r="B185" s="206" t="s">
        <v>8</v>
      </c>
      <c r="C185" s="206" t="s">
        <v>7</v>
      </c>
      <c r="D185" s="206" t="s">
        <v>6</v>
      </c>
      <c r="E185" s="206" t="s">
        <v>5</v>
      </c>
      <c r="F185" s="206" t="s">
        <v>4</v>
      </c>
      <c r="G185" s="206" t="s">
        <v>3</v>
      </c>
      <c r="H185" s="206" t="s">
        <v>2</v>
      </c>
      <c r="I185" s="206" t="s">
        <v>1</v>
      </c>
      <c r="J185" s="206" t="s">
        <v>0</v>
      </c>
      <c r="K185" s="206" t="s">
        <v>1</v>
      </c>
      <c r="L185" s="206" t="s">
        <v>2</v>
      </c>
      <c r="M185" s="206" t="s">
        <v>3</v>
      </c>
      <c r="N185" s="206" t="s">
        <v>4</v>
      </c>
      <c r="O185" s="206" t="s">
        <v>5</v>
      </c>
      <c r="P185" s="206" t="s">
        <v>6</v>
      </c>
      <c r="Q185" s="206" t="s">
        <v>7</v>
      </c>
      <c r="R185" s="206" t="s">
        <v>8</v>
      </c>
      <c r="S185" s="207" t="e">
        <f>'6a-Hierarchy'!#REF!</f>
        <v>#REF!</v>
      </c>
    </row>
    <row r="186" spans="1:19" ht="16.5" customHeight="1">
      <c r="A186" s="201" t="str">
        <f>'6a-Hierarchy'!$F$4</f>
        <v>Alt.2</v>
      </c>
      <c r="B186" s="169" t="s">
        <v>8</v>
      </c>
      <c r="C186" s="169" t="s">
        <v>7</v>
      </c>
      <c r="D186" s="169" t="s">
        <v>6</v>
      </c>
      <c r="E186" s="169" t="s">
        <v>5</v>
      </c>
      <c r="F186" s="169" t="s">
        <v>4</v>
      </c>
      <c r="G186" s="169" t="s">
        <v>3</v>
      </c>
      <c r="H186" s="169" t="s">
        <v>2</v>
      </c>
      <c r="I186" s="169" t="s">
        <v>1</v>
      </c>
      <c r="J186" s="169" t="s">
        <v>0</v>
      </c>
      <c r="K186" s="169" t="s">
        <v>1</v>
      </c>
      <c r="L186" s="169" t="s">
        <v>2</v>
      </c>
      <c r="M186" s="169" t="s">
        <v>3</v>
      </c>
      <c r="N186" s="169" t="s">
        <v>4</v>
      </c>
      <c r="O186" s="169" t="s">
        <v>5</v>
      </c>
      <c r="P186" s="169" t="s">
        <v>6</v>
      </c>
      <c r="Q186" s="169" t="s">
        <v>7</v>
      </c>
      <c r="R186" s="169" t="s">
        <v>8</v>
      </c>
      <c r="S186" s="170" t="str">
        <f>'6a-Hierarchy'!$G$4</f>
        <v>Alt.3</v>
      </c>
    </row>
    <row r="187" spans="1:19" ht="16.5" customHeight="1" thickBot="1">
      <c r="A187" s="205"/>
      <c r="B187" s="206" t="s">
        <v>8</v>
      </c>
      <c r="C187" s="206" t="s">
        <v>7</v>
      </c>
      <c r="D187" s="206" t="s">
        <v>6</v>
      </c>
      <c r="E187" s="206" t="s">
        <v>5</v>
      </c>
      <c r="F187" s="206" t="s">
        <v>4</v>
      </c>
      <c r="G187" s="206" t="s">
        <v>3</v>
      </c>
      <c r="H187" s="206" t="s">
        <v>2</v>
      </c>
      <c r="I187" s="206" t="s">
        <v>1</v>
      </c>
      <c r="J187" s="206" t="s">
        <v>0</v>
      </c>
      <c r="K187" s="206" t="s">
        <v>1</v>
      </c>
      <c r="L187" s="206" t="s">
        <v>2</v>
      </c>
      <c r="M187" s="206" t="s">
        <v>3</v>
      </c>
      <c r="N187" s="206" t="s">
        <v>4</v>
      </c>
      <c r="O187" s="206" t="s">
        <v>5</v>
      </c>
      <c r="P187" s="206" t="s">
        <v>6</v>
      </c>
      <c r="Q187" s="206" t="s">
        <v>7</v>
      </c>
      <c r="R187" s="206" t="s">
        <v>8</v>
      </c>
      <c r="S187" s="207" t="e">
        <f>'6a-Hierarchy'!#REF!</f>
        <v>#REF!</v>
      </c>
    </row>
    <row r="188" spans="1:19" ht="16.5" customHeight="1" thickBot="1">
      <c r="A188" s="213" t="str">
        <f>'6a-Hierarchy'!$G$4</f>
        <v>Alt.3</v>
      </c>
      <c r="B188" s="222" t="s">
        <v>8</v>
      </c>
      <c r="C188" s="222" t="s">
        <v>7</v>
      </c>
      <c r="D188" s="222" t="s">
        <v>6</v>
      </c>
      <c r="E188" s="222" t="s">
        <v>5</v>
      </c>
      <c r="F188" s="222" t="s">
        <v>4</v>
      </c>
      <c r="G188" s="222" t="s">
        <v>3</v>
      </c>
      <c r="H188" s="222" t="s">
        <v>2</v>
      </c>
      <c r="I188" s="222" t="s">
        <v>1</v>
      </c>
      <c r="J188" s="222" t="s">
        <v>0</v>
      </c>
      <c r="K188" s="222" t="s">
        <v>1</v>
      </c>
      <c r="L188" s="222" t="s">
        <v>2</v>
      </c>
      <c r="M188" s="222" t="s">
        <v>3</v>
      </c>
      <c r="N188" s="222" t="s">
        <v>4</v>
      </c>
      <c r="O188" s="222" t="s">
        <v>5</v>
      </c>
      <c r="P188" s="222" t="s">
        <v>6</v>
      </c>
      <c r="Q188" s="222" t="s">
        <v>7</v>
      </c>
      <c r="R188" s="222" t="s">
        <v>8</v>
      </c>
      <c r="S188" s="214" t="e">
        <f>'6a-Hierarchy'!#REF!</f>
        <v>#REF!</v>
      </c>
    </row>
    <row r="189" spans="1:19" ht="7.5" customHeight="1" thickBot="1">
      <c r="A189" s="215"/>
      <c r="B189" s="216"/>
      <c r="C189" s="216"/>
      <c r="D189" s="216"/>
      <c r="E189" s="216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5"/>
    </row>
    <row r="190" spans="1:19" ht="18.75" customHeight="1" thickBot="1">
      <c r="A190" s="217"/>
      <c r="B190" s="218"/>
      <c r="C190" s="218"/>
      <c r="D190" s="218"/>
      <c r="E190" s="218"/>
      <c r="F190" s="218"/>
      <c r="G190" s="219"/>
      <c r="H190" s="219"/>
      <c r="I190" s="220">
        <f>'1b-Sub-Performance'!A8</f>
        <v>0</v>
      </c>
      <c r="J190" s="219" t="s">
        <v>14</v>
      </c>
      <c r="K190" s="219" t="s">
        <v>16</v>
      </c>
      <c r="L190" s="219"/>
      <c r="M190" s="219"/>
      <c r="N190" s="218"/>
      <c r="O190" s="218"/>
      <c r="P190" s="218"/>
      <c r="Q190" s="218"/>
      <c r="R190" s="218"/>
      <c r="S190" s="221"/>
    </row>
    <row r="191" spans="1:19" ht="33.75" customHeight="1" thickBot="1">
      <c r="A191" s="231" t="s">
        <v>227</v>
      </c>
      <c r="B191" s="232" t="s">
        <v>222</v>
      </c>
      <c r="C191" s="233"/>
      <c r="D191" s="232" t="s">
        <v>223</v>
      </c>
      <c r="E191" s="233"/>
      <c r="F191" s="232" t="s">
        <v>224</v>
      </c>
      <c r="G191" s="233"/>
      <c r="H191" s="232" t="s">
        <v>225</v>
      </c>
      <c r="I191" s="233"/>
      <c r="J191" s="232" t="s">
        <v>226</v>
      </c>
      <c r="K191" s="233"/>
      <c r="L191" s="232" t="s">
        <v>225</v>
      </c>
      <c r="M191" s="233"/>
      <c r="N191" s="232" t="s">
        <v>224</v>
      </c>
      <c r="O191" s="233"/>
      <c r="P191" s="232" t="s">
        <v>223</v>
      </c>
      <c r="Q191" s="233"/>
      <c r="R191" s="232" t="s">
        <v>222</v>
      </c>
      <c r="S191" s="234" t="s">
        <v>227</v>
      </c>
    </row>
    <row r="192" spans="1:19" ht="17.100000000000001" customHeight="1">
      <c r="A192" s="201" t="str">
        <f>'6a-Hierarchy'!$D$4</f>
        <v>Original</v>
      </c>
      <c r="B192" s="169" t="s">
        <v>8</v>
      </c>
      <c r="C192" s="169" t="s">
        <v>7</v>
      </c>
      <c r="D192" s="169" t="s">
        <v>6</v>
      </c>
      <c r="E192" s="169" t="s">
        <v>5</v>
      </c>
      <c r="F192" s="169" t="s">
        <v>4</v>
      </c>
      <c r="G192" s="169" t="s">
        <v>3</v>
      </c>
      <c r="H192" s="169" t="s">
        <v>2</v>
      </c>
      <c r="I192" s="169" t="s">
        <v>1</v>
      </c>
      <c r="J192" s="169" t="s">
        <v>0</v>
      </c>
      <c r="K192" s="169" t="s">
        <v>1</v>
      </c>
      <c r="L192" s="169" t="s">
        <v>2</v>
      </c>
      <c r="M192" s="169" t="s">
        <v>3</v>
      </c>
      <c r="N192" s="169" t="s">
        <v>4</v>
      </c>
      <c r="O192" s="169" t="s">
        <v>5</v>
      </c>
      <c r="P192" s="169" t="s">
        <v>6</v>
      </c>
      <c r="Q192" s="169" t="s">
        <v>7</v>
      </c>
      <c r="R192" s="169" t="s">
        <v>8</v>
      </c>
      <c r="S192" s="170" t="str">
        <f>'6a-Hierarchy'!$E$4</f>
        <v>Alt.1</v>
      </c>
    </row>
    <row r="193" spans="1:19" ht="16.5" customHeight="1">
      <c r="A193" s="202"/>
      <c r="B193" s="46" t="s">
        <v>8</v>
      </c>
      <c r="C193" s="46" t="s">
        <v>7</v>
      </c>
      <c r="D193" s="46" t="s">
        <v>6</v>
      </c>
      <c r="E193" s="46" t="s">
        <v>5</v>
      </c>
      <c r="F193" s="46" t="s">
        <v>4</v>
      </c>
      <c r="G193" s="46" t="s">
        <v>3</v>
      </c>
      <c r="H193" s="46" t="s">
        <v>2</v>
      </c>
      <c r="I193" s="46" t="s">
        <v>1</v>
      </c>
      <c r="J193" s="46" t="s">
        <v>0</v>
      </c>
      <c r="K193" s="46" t="s">
        <v>1</v>
      </c>
      <c r="L193" s="46" t="s">
        <v>2</v>
      </c>
      <c r="M193" s="46" t="s">
        <v>3</v>
      </c>
      <c r="N193" s="46" t="s">
        <v>4</v>
      </c>
      <c r="O193" s="46" t="s">
        <v>5</v>
      </c>
      <c r="P193" s="46" t="s">
        <v>6</v>
      </c>
      <c r="Q193" s="46" t="s">
        <v>7</v>
      </c>
      <c r="R193" s="46" t="s">
        <v>8</v>
      </c>
      <c r="S193" s="203" t="str">
        <f>'6a-Hierarchy'!$F$4</f>
        <v>Alt.2</v>
      </c>
    </row>
    <row r="194" spans="1:19" ht="16.5" customHeight="1">
      <c r="A194" s="202"/>
      <c r="B194" s="46" t="s">
        <v>8</v>
      </c>
      <c r="C194" s="46" t="s">
        <v>7</v>
      </c>
      <c r="D194" s="46" t="s">
        <v>6</v>
      </c>
      <c r="E194" s="46" t="s">
        <v>5</v>
      </c>
      <c r="F194" s="46" t="s">
        <v>4</v>
      </c>
      <c r="G194" s="46" t="s">
        <v>3</v>
      </c>
      <c r="H194" s="46" t="s">
        <v>2</v>
      </c>
      <c r="I194" s="46" t="s">
        <v>1</v>
      </c>
      <c r="J194" s="46" t="s">
        <v>0</v>
      </c>
      <c r="K194" s="46" t="s">
        <v>1</v>
      </c>
      <c r="L194" s="46" t="s">
        <v>2</v>
      </c>
      <c r="M194" s="46" t="s">
        <v>3</v>
      </c>
      <c r="N194" s="46" t="s">
        <v>4</v>
      </c>
      <c r="O194" s="46" t="s">
        <v>5</v>
      </c>
      <c r="P194" s="46" t="s">
        <v>6</v>
      </c>
      <c r="Q194" s="46" t="s">
        <v>7</v>
      </c>
      <c r="R194" s="46" t="s">
        <v>8</v>
      </c>
      <c r="S194" s="203" t="str">
        <f>'6a-Hierarchy'!$G$4</f>
        <v>Alt.3</v>
      </c>
    </row>
    <row r="195" spans="1:19" ht="16.5" customHeight="1" thickBot="1">
      <c r="A195" s="205"/>
      <c r="B195" s="206" t="s">
        <v>8</v>
      </c>
      <c r="C195" s="206" t="s">
        <v>7</v>
      </c>
      <c r="D195" s="206" t="s">
        <v>6</v>
      </c>
      <c r="E195" s="206" t="s">
        <v>5</v>
      </c>
      <c r="F195" s="206" t="s">
        <v>4</v>
      </c>
      <c r="G195" s="206" t="s">
        <v>3</v>
      </c>
      <c r="H195" s="206" t="s">
        <v>2</v>
      </c>
      <c r="I195" s="206" t="s">
        <v>1</v>
      </c>
      <c r="J195" s="206" t="s">
        <v>0</v>
      </c>
      <c r="K195" s="206" t="s">
        <v>1</v>
      </c>
      <c r="L195" s="206" t="s">
        <v>2</v>
      </c>
      <c r="M195" s="206" t="s">
        <v>3</v>
      </c>
      <c r="N195" s="206" t="s">
        <v>4</v>
      </c>
      <c r="O195" s="206" t="s">
        <v>5</v>
      </c>
      <c r="P195" s="206" t="s">
        <v>6</v>
      </c>
      <c r="Q195" s="206" t="s">
        <v>7</v>
      </c>
      <c r="R195" s="206" t="s">
        <v>8</v>
      </c>
      <c r="S195" s="207" t="e">
        <f>'6a-Hierarchy'!#REF!</f>
        <v>#REF!</v>
      </c>
    </row>
    <row r="196" spans="1:19" ht="16.5" customHeight="1">
      <c r="A196" s="201" t="str">
        <f>'6a-Hierarchy'!$E$4</f>
        <v>Alt.1</v>
      </c>
      <c r="B196" s="169" t="s">
        <v>8</v>
      </c>
      <c r="C196" s="169" t="s">
        <v>7</v>
      </c>
      <c r="D196" s="169" t="s">
        <v>6</v>
      </c>
      <c r="E196" s="169" t="s">
        <v>5</v>
      </c>
      <c r="F196" s="169" t="s">
        <v>4</v>
      </c>
      <c r="G196" s="169" t="s">
        <v>3</v>
      </c>
      <c r="H196" s="169" t="s">
        <v>2</v>
      </c>
      <c r="I196" s="169" t="s">
        <v>1</v>
      </c>
      <c r="J196" s="169" t="s">
        <v>0</v>
      </c>
      <c r="K196" s="169" t="s">
        <v>1</v>
      </c>
      <c r="L196" s="169" t="s">
        <v>2</v>
      </c>
      <c r="M196" s="169" t="s">
        <v>3</v>
      </c>
      <c r="N196" s="169" t="s">
        <v>4</v>
      </c>
      <c r="O196" s="169" t="s">
        <v>5</v>
      </c>
      <c r="P196" s="169" t="s">
        <v>6</v>
      </c>
      <c r="Q196" s="169" t="s">
        <v>7</v>
      </c>
      <c r="R196" s="169" t="s">
        <v>8</v>
      </c>
      <c r="S196" s="170" t="str">
        <f>'6a-Hierarchy'!$F$4</f>
        <v>Alt.2</v>
      </c>
    </row>
    <row r="197" spans="1:19" ht="16.5" customHeight="1">
      <c r="A197" s="202"/>
      <c r="B197" s="46" t="s">
        <v>8</v>
      </c>
      <c r="C197" s="46" t="s">
        <v>7</v>
      </c>
      <c r="D197" s="46" t="s">
        <v>6</v>
      </c>
      <c r="E197" s="46" t="s">
        <v>5</v>
      </c>
      <c r="F197" s="46" t="s">
        <v>4</v>
      </c>
      <c r="G197" s="46" t="s">
        <v>3</v>
      </c>
      <c r="H197" s="46" t="s">
        <v>2</v>
      </c>
      <c r="I197" s="46" t="s">
        <v>1</v>
      </c>
      <c r="J197" s="46" t="s">
        <v>0</v>
      </c>
      <c r="K197" s="46" t="s">
        <v>1</v>
      </c>
      <c r="L197" s="46" t="s">
        <v>2</v>
      </c>
      <c r="M197" s="46" t="s">
        <v>3</v>
      </c>
      <c r="N197" s="46" t="s">
        <v>4</v>
      </c>
      <c r="O197" s="46" t="s">
        <v>5</v>
      </c>
      <c r="P197" s="46" t="s">
        <v>6</v>
      </c>
      <c r="Q197" s="46" t="s">
        <v>7</v>
      </c>
      <c r="R197" s="46" t="s">
        <v>8</v>
      </c>
      <c r="S197" s="203" t="str">
        <f>'6a-Hierarchy'!$G$4</f>
        <v>Alt.3</v>
      </c>
    </row>
    <row r="198" spans="1:19" ht="16.5" customHeight="1" thickBot="1">
      <c r="A198" s="205"/>
      <c r="B198" s="206" t="s">
        <v>8</v>
      </c>
      <c r="C198" s="206" t="s">
        <v>7</v>
      </c>
      <c r="D198" s="206" t="s">
        <v>6</v>
      </c>
      <c r="E198" s="206" t="s">
        <v>5</v>
      </c>
      <c r="F198" s="206" t="s">
        <v>4</v>
      </c>
      <c r="G198" s="206" t="s">
        <v>3</v>
      </c>
      <c r="H198" s="206" t="s">
        <v>2</v>
      </c>
      <c r="I198" s="206" t="s">
        <v>1</v>
      </c>
      <c r="J198" s="206" t="s">
        <v>0</v>
      </c>
      <c r="K198" s="206" t="s">
        <v>1</v>
      </c>
      <c r="L198" s="206" t="s">
        <v>2</v>
      </c>
      <c r="M198" s="206" t="s">
        <v>3</v>
      </c>
      <c r="N198" s="206" t="s">
        <v>4</v>
      </c>
      <c r="O198" s="206" t="s">
        <v>5</v>
      </c>
      <c r="P198" s="206" t="s">
        <v>6</v>
      </c>
      <c r="Q198" s="206" t="s">
        <v>7</v>
      </c>
      <c r="R198" s="206" t="s">
        <v>8</v>
      </c>
      <c r="S198" s="207" t="e">
        <f>'6a-Hierarchy'!#REF!</f>
        <v>#REF!</v>
      </c>
    </row>
    <row r="199" spans="1:19" ht="16.5" customHeight="1">
      <c r="A199" s="201" t="str">
        <f>'6a-Hierarchy'!$F$4</f>
        <v>Alt.2</v>
      </c>
      <c r="B199" s="169" t="s">
        <v>8</v>
      </c>
      <c r="C199" s="169" t="s">
        <v>7</v>
      </c>
      <c r="D199" s="169" t="s">
        <v>6</v>
      </c>
      <c r="E199" s="169" t="s">
        <v>5</v>
      </c>
      <c r="F199" s="169" t="s">
        <v>4</v>
      </c>
      <c r="G199" s="169" t="s">
        <v>3</v>
      </c>
      <c r="H199" s="169" t="s">
        <v>2</v>
      </c>
      <c r="I199" s="169" t="s">
        <v>1</v>
      </c>
      <c r="J199" s="169" t="s">
        <v>0</v>
      </c>
      <c r="K199" s="169" t="s">
        <v>1</v>
      </c>
      <c r="L199" s="169" t="s">
        <v>2</v>
      </c>
      <c r="M199" s="169" t="s">
        <v>3</v>
      </c>
      <c r="N199" s="169" t="s">
        <v>4</v>
      </c>
      <c r="O199" s="169" t="s">
        <v>5</v>
      </c>
      <c r="P199" s="169" t="s">
        <v>6</v>
      </c>
      <c r="Q199" s="169" t="s">
        <v>7</v>
      </c>
      <c r="R199" s="169" t="s">
        <v>8</v>
      </c>
      <c r="S199" s="170" t="str">
        <f>'6a-Hierarchy'!$G$4</f>
        <v>Alt.3</v>
      </c>
    </row>
    <row r="200" spans="1:19" ht="16.5" customHeight="1" thickBot="1">
      <c r="A200" s="205"/>
      <c r="B200" s="206" t="s">
        <v>8</v>
      </c>
      <c r="C200" s="206" t="s">
        <v>7</v>
      </c>
      <c r="D200" s="206" t="s">
        <v>6</v>
      </c>
      <c r="E200" s="206" t="s">
        <v>5</v>
      </c>
      <c r="F200" s="206" t="s">
        <v>4</v>
      </c>
      <c r="G200" s="206" t="s">
        <v>3</v>
      </c>
      <c r="H200" s="206" t="s">
        <v>2</v>
      </c>
      <c r="I200" s="206" t="s">
        <v>1</v>
      </c>
      <c r="J200" s="206" t="s">
        <v>0</v>
      </c>
      <c r="K200" s="206" t="s">
        <v>1</v>
      </c>
      <c r="L200" s="206" t="s">
        <v>2</v>
      </c>
      <c r="M200" s="206" t="s">
        <v>3</v>
      </c>
      <c r="N200" s="206" t="s">
        <v>4</v>
      </c>
      <c r="O200" s="206" t="s">
        <v>5</v>
      </c>
      <c r="P200" s="206" t="s">
        <v>6</v>
      </c>
      <c r="Q200" s="206" t="s">
        <v>7</v>
      </c>
      <c r="R200" s="206" t="s">
        <v>8</v>
      </c>
      <c r="S200" s="207" t="e">
        <f>'6a-Hierarchy'!#REF!</f>
        <v>#REF!</v>
      </c>
    </row>
    <row r="201" spans="1:19" ht="16.5" customHeight="1" thickBot="1">
      <c r="A201" s="213" t="str">
        <f>'6a-Hierarchy'!$G$4</f>
        <v>Alt.3</v>
      </c>
      <c r="B201" s="222" t="s">
        <v>8</v>
      </c>
      <c r="C201" s="222" t="s">
        <v>7</v>
      </c>
      <c r="D201" s="222" t="s">
        <v>6</v>
      </c>
      <c r="E201" s="222" t="s">
        <v>5</v>
      </c>
      <c r="F201" s="222" t="s">
        <v>4</v>
      </c>
      <c r="G201" s="222" t="s">
        <v>3</v>
      </c>
      <c r="H201" s="222" t="s">
        <v>2</v>
      </c>
      <c r="I201" s="222" t="s">
        <v>1</v>
      </c>
      <c r="J201" s="222" t="s">
        <v>0</v>
      </c>
      <c r="K201" s="222" t="s">
        <v>1</v>
      </c>
      <c r="L201" s="222" t="s">
        <v>2</v>
      </c>
      <c r="M201" s="222" t="s">
        <v>3</v>
      </c>
      <c r="N201" s="222" t="s">
        <v>4</v>
      </c>
      <c r="O201" s="222" t="s">
        <v>5</v>
      </c>
      <c r="P201" s="222" t="s">
        <v>6</v>
      </c>
      <c r="Q201" s="222" t="s">
        <v>7</v>
      </c>
      <c r="R201" s="222" t="s">
        <v>8</v>
      </c>
      <c r="S201" s="214" t="e">
        <f>'6a-Hierarchy'!#REF!</f>
        <v>#REF!</v>
      </c>
    </row>
    <row r="202" spans="1:19" ht="7.5" customHeight="1" thickBot="1">
      <c r="A202" s="215"/>
      <c r="B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5"/>
    </row>
    <row r="203" spans="1:19" ht="18.75" customHeight="1" thickBot="1">
      <c r="A203" s="217"/>
      <c r="B203" s="218"/>
      <c r="C203" s="218"/>
      <c r="D203" s="218"/>
      <c r="E203" s="218"/>
      <c r="F203" s="218"/>
      <c r="G203" s="219"/>
      <c r="H203" s="219"/>
      <c r="I203" s="220">
        <f>'1b-Sub-Performance'!A11</f>
        <v>0</v>
      </c>
      <c r="J203" s="219" t="s">
        <v>14</v>
      </c>
      <c r="K203" s="219" t="s">
        <v>16</v>
      </c>
      <c r="L203" s="219"/>
      <c r="M203" s="219"/>
      <c r="N203" s="218"/>
      <c r="O203" s="218"/>
      <c r="P203" s="218"/>
      <c r="Q203" s="218"/>
      <c r="R203" s="218"/>
      <c r="S203" s="221"/>
    </row>
    <row r="204" spans="1:19" ht="33.75" customHeight="1" thickBot="1">
      <c r="A204" s="231" t="s">
        <v>227</v>
      </c>
      <c r="B204" s="232" t="s">
        <v>222</v>
      </c>
      <c r="C204" s="233"/>
      <c r="D204" s="232" t="s">
        <v>223</v>
      </c>
      <c r="E204" s="233"/>
      <c r="F204" s="232" t="s">
        <v>224</v>
      </c>
      <c r="G204" s="233"/>
      <c r="H204" s="232" t="s">
        <v>225</v>
      </c>
      <c r="I204" s="233"/>
      <c r="J204" s="232" t="s">
        <v>226</v>
      </c>
      <c r="K204" s="233"/>
      <c r="L204" s="232" t="s">
        <v>225</v>
      </c>
      <c r="M204" s="233"/>
      <c r="N204" s="232" t="s">
        <v>224</v>
      </c>
      <c r="O204" s="233"/>
      <c r="P204" s="232" t="s">
        <v>223</v>
      </c>
      <c r="Q204" s="233"/>
      <c r="R204" s="232" t="s">
        <v>222</v>
      </c>
      <c r="S204" s="234" t="s">
        <v>227</v>
      </c>
    </row>
    <row r="205" spans="1:19" ht="17.100000000000001" customHeight="1">
      <c r="A205" s="201" t="str">
        <f>'6a-Hierarchy'!$D$4</f>
        <v>Original</v>
      </c>
      <c r="B205" s="169" t="s">
        <v>8</v>
      </c>
      <c r="C205" s="169" t="s">
        <v>7</v>
      </c>
      <c r="D205" s="169" t="s">
        <v>6</v>
      </c>
      <c r="E205" s="169" t="s">
        <v>5</v>
      </c>
      <c r="F205" s="169" t="s">
        <v>4</v>
      </c>
      <c r="G205" s="169" t="s">
        <v>3</v>
      </c>
      <c r="H205" s="169" t="s">
        <v>2</v>
      </c>
      <c r="I205" s="169" t="s">
        <v>1</v>
      </c>
      <c r="J205" s="169" t="s">
        <v>0</v>
      </c>
      <c r="K205" s="169" t="s">
        <v>1</v>
      </c>
      <c r="L205" s="169" t="s">
        <v>2</v>
      </c>
      <c r="M205" s="169" t="s">
        <v>3</v>
      </c>
      <c r="N205" s="169" t="s">
        <v>4</v>
      </c>
      <c r="O205" s="169" t="s">
        <v>5</v>
      </c>
      <c r="P205" s="169" t="s">
        <v>6</v>
      </c>
      <c r="Q205" s="169" t="s">
        <v>7</v>
      </c>
      <c r="R205" s="169" t="s">
        <v>8</v>
      </c>
      <c r="S205" s="170" t="str">
        <f>'6a-Hierarchy'!$E$4</f>
        <v>Alt.1</v>
      </c>
    </row>
    <row r="206" spans="1:19" ht="16.5" customHeight="1">
      <c r="A206" s="202"/>
      <c r="B206" s="46" t="s">
        <v>8</v>
      </c>
      <c r="C206" s="46" t="s">
        <v>7</v>
      </c>
      <c r="D206" s="46" t="s">
        <v>6</v>
      </c>
      <c r="E206" s="46" t="s">
        <v>5</v>
      </c>
      <c r="F206" s="46" t="s">
        <v>4</v>
      </c>
      <c r="G206" s="46" t="s">
        <v>3</v>
      </c>
      <c r="H206" s="46" t="s">
        <v>2</v>
      </c>
      <c r="I206" s="46" t="s">
        <v>1</v>
      </c>
      <c r="J206" s="46" t="s">
        <v>0</v>
      </c>
      <c r="K206" s="46" t="s">
        <v>1</v>
      </c>
      <c r="L206" s="46" t="s">
        <v>2</v>
      </c>
      <c r="M206" s="46" t="s">
        <v>3</v>
      </c>
      <c r="N206" s="46" t="s">
        <v>4</v>
      </c>
      <c r="O206" s="46" t="s">
        <v>5</v>
      </c>
      <c r="P206" s="46" t="s">
        <v>6</v>
      </c>
      <c r="Q206" s="46" t="s">
        <v>7</v>
      </c>
      <c r="R206" s="46" t="s">
        <v>8</v>
      </c>
      <c r="S206" s="203" t="str">
        <f>'6a-Hierarchy'!$F$4</f>
        <v>Alt.2</v>
      </c>
    </row>
    <row r="207" spans="1:19" ht="16.5" customHeight="1">
      <c r="A207" s="202"/>
      <c r="B207" s="46" t="s">
        <v>8</v>
      </c>
      <c r="C207" s="46" t="s">
        <v>7</v>
      </c>
      <c r="D207" s="46" t="s">
        <v>6</v>
      </c>
      <c r="E207" s="46" t="s">
        <v>5</v>
      </c>
      <c r="F207" s="46" t="s">
        <v>4</v>
      </c>
      <c r="G207" s="46" t="s">
        <v>3</v>
      </c>
      <c r="H207" s="46" t="s">
        <v>2</v>
      </c>
      <c r="I207" s="46" t="s">
        <v>1</v>
      </c>
      <c r="J207" s="46" t="s">
        <v>0</v>
      </c>
      <c r="K207" s="46" t="s">
        <v>1</v>
      </c>
      <c r="L207" s="46" t="s">
        <v>2</v>
      </c>
      <c r="M207" s="46" t="s">
        <v>3</v>
      </c>
      <c r="N207" s="46" t="s">
        <v>4</v>
      </c>
      <c r="O207" s="46" t="s">
        <v>5</v>
      </c>
      <c r="P207" s="46" t="s">
        <v>6</v>
      </c>
      <c r="Q207" s="46" t="s">
        <v>7</v>
      </c>
      <c r="R207" s="46" t="s">
        <v>8</v>
      </c>
      <c r="S207" s="203" t="str">
        <f>'6a-Hierarchy'!$G$4</f>
        <v>Alt.3</v>
      </c>
    </row>
    <row r="208" spans="1:19" ht="16.5" customHeight="1" thickBot="1">
      <c r="A208" s="205"/>
      <c r="B208" s="206" t="s">
        <v>8</v>
      </c>
      <c r="C208" s="206" t="s">
        <v>7</v>
      </c>
      <c r="D208" s="206" t="s">
        <v>6</v>
      </c>
      <c r="E208" s="206" t="s">
        <v>5</v>
      </c>
      <c r="F208" s="206" t="s">
        <v>4</v>
      </c>
      <c r="G208" s="206" t="s">
        <v>3</v>
      </c>
      <c r="H208" s="206" t="s">
        <v>2</v>
      </c>
      <c r="I208" s="206" t="s">
        <v>1</v>
      </c>
      <c r="J208" s="206" t="s">
        <v>0</v>
      </c>
      <c r="K208" s="206" t="s">
        <v>1</v>
      </c>
      <c r="L208" s="206" t="s">
        <v>2</v>
      </c>
      <c r="M208" s="206" t="s">
        <v>3</v>
      </c>
      <c r="N208" s="206" t="s">
        <v>4</v>
      </c>
      <c r="O208" s="206" t="s">
        <v>5</v>
      </c>
      <c r="P208" s="206" t="s">
        <v>6</v>
      </c>
      <c r="Q208" s="206" t="s">
        <v>7</v>
      </c>
      <c r="R208" s="206" t="s">
        <v>8</v>
      </c>
      <c r="S208" s="207" t="e">
        <f>'6a-Hierarchy'!#REF!</f>
        <v>#REF!</v>
      </c>
    </row>
    <row r="209" spans="1:19" ht="16.5" customHeight="1">
      <c r="A209" s="201" t="str">
        <f>'6a-Hierarchy'!$E$4</f>
        <v>Alt.1</v>
      </c>
      <c r="B209" s="169" t="s">
        <v>8</v>
      </c>
      <c r="C209" s="169" t="s">
        <v>7</v>
      </c>
      <c r="D209" s="169" t="s">
        <v>6</v>
      </c>
      <c r="E209" s="169" t="s">
        <v>5</v>
      </c>
      <c r="F209" s="169" t="s">
        <v>4</v>
      </c>
      <c r="G209" s="169" t="s">
        <v>3</v>
      </c>
      <c r="H209" s="169" t="s">
        <v>2</v>
      </c>
      <c r="I209" s="169" t="s">
        <v>1</v>
      </c>
      <c r="J209" s="169" t="s">
        <v>0</v>
      </c>
      <c r="K209" s="169" t="s">
        <v>1</v>
      </c>
      <c r="L209" s="169" t="s">
        <v>2</v>
      </c>
      <c r="M209" s="169" t="s">
        <v>3</v>
      </c>
      <c r="N209" s="169" t="s">
        <v>4</v>
      </c>
      <c r="O209" s="169" t="s">
        <v>5</v>
      </c>
      <c r="P209" s="169" t="s">
        <v>6</v>
      </c>
      <c r="Q209" s="169" t="s">
        <v>7</v>
      </c>
      <c r="R209" s="169" t="s">
        <v>8</v>
      </c>
      <c r="S209" s="170" t="str">
        <f>'6a-Hierarchy'!$F$4</f>
        <v>Alt.2</v>
      </c>
    </row>
    <row r="210" spans="1:19" ht="16.5" customHeight="1">
      <c r="A210" s="202"/>
      <c r="B210" s="46" t="s">
        <v>8</v>
      </c>
      <c r="C210" s="46" t="s">
        <v>7</v>
      </c>
      <c r="D210" s="46" t="s">
        <v>6</v>
      </c>
      <c r="E210" s="46" t="s">
        <v>5</v>
      </c>
      <c r="F210" s="46" t="s">
        <v>4</v>
      </c>
      <c r="G210" s="46" t="s">
        <v>3</v>
      </c>
      <c r="H210" s="46" t="s">
        <v>2</v>
      </c>
      <c r="I210" s="46" t="s">
        <v>1</v>
      </c>
      <c r="J210" s="46" t="s">
        <v>0</v>
      </c>
      <c r="K210" s="46" t="s">
        <v>1</v>
      </c>
      <c r="L210" s="46" t="s">
        <v>2</v>
      </c>
      <c r="M210" s="46" t="s">
        <v>3</v>
      </c>
      <c r="N210" s="46" t="s">
        <v>4</v>
      </c>
      <c r="O210" s="46" t="s">
        <v>5</v>
      </c>
      <c r="P210" s="46" t="s">
        <v>6</v>
      </c>
      <c r="Q210" s="46" t="s">
        <v>7</v>
      </c>
      <c r="R210" s="46" t="s">
        <v>8</v>
      </c>
      <c r="S210" s="203" t="str">
        <f>'6a-Hierarchy'!$G$4</f>
        <v>Alt.3</v>
      </c>
    </row>
    <row r="211" spans="1:19" ht="16.5" customHeight="1" thickBot="1">
      <c r="A211" s="205"/>
      <c r="B211" s="206" t="s">
        <v>8</v>
      </c>
      <c r="C211" s="206" t="s">
        <v>7</v>
      </c>
      <c r="D211" s="206" t="s">
        <v>6</v>
      </c>
      <c r="E211" s="206" t="s">
        <v>5</v>
      </c>
      <c r="F211" s="206" t="s">
        <v>4</v>
      </c>
      <c r="G211" s="206" t="s">
        <v>3</v>
      </c>
      <c r="H211" s="206" t="s">
        <v>2</v>
      </c>
      <c r="I211" s="206" t="s">
        <v>1</v>
      </c>
      <c r="J211" s="206" t="s">
        <v>0</v>
      </c>
      <c r="K211" s="206" t="s">
        <v>1</v>
      </c>
      <c r="L211" s="206" t="s">
        <v>2</v>
      </c>
      <c r="M211" s="206" t="s">
        <v>3</v>
      </c>
      <c r="N211" s="206" t="s">
        <v>4</v>
      </c>
      <c r="O211" s="206" t="s">
        <v>5</v>
      </c>
      <c r="P211" s="206" t="s">
        <v>6</v>
      </c>
      <c r="Q211" s="206" t="s">
        <v>7</v>
      </c>
      <c r="R211" s="206" t="s">
        <v>8</v>
      </c>
      <c r="S211" s="207" t="e">
        <f>'6a-Hierarchy'!#REF!</f>
        <v>#REF!</v>
      </c>
    </row>
    <row r="212" spans="1:19" ht="16.5" customHeight="1">
      <c r="A212" s="201" t="str">
        <f>'6a-Hierarchy'!$F$4</f>
        <v>Alt.2</v>
      </c>
      <c r="B212" s="169" t="s">
        <v>8</v>
      </c>
      <c r="C212" s="169" t="s">
        <v>7</v>
      </c>
      <c r="D212" s="169" t="s">
        <v>6</v>
      </c>
      <c r="E212" s="169" t="s">
        <v>5</v>
      </c>
      <c r="F212" s="169" t="s">
        <v>4</v>
      </c>
      <c r="G212" s="169" t="s">
        <v>3</v>
      </c>
      <c r="H212" s="169" t="s">
        <v>2</v>
      </c>
      <c r="I212" s="169" t="s">
        <v>1</v>
      </c>
      <c r="J212" s="169" t="s">
        <v>0</v>
      </c>
      <c r="K212" s="169" t="s">
        <v>1</v>
      </c>
      <c r="L212" s="169" t="s">
        <v>2</v>
      </c>
      <c r="M212" s="169" t="s">
        <v>3</v>
      </c>
      <c r="N212" s="169" t="s">
        <v>4</v>
      </c>
      <c r="O212" s="169" t="s">
        <v>5</v>
      </c>
      <c r="P212" s="169" t="s">
        <v>6</v>
      </c>
      <c r="Q212" s="169" t="s">
        <v>7</v>
      </c>
      <c r="R212" s="169" t="s">
        <v>8</v>
      </c>
      <c r="S212" s="170" t="str">
        <f>'6a-Hierarchy'!$G$4</f>
        <v>Alt.3</v>
      </c>
    </row>
    <row r="213" spans="1:19" ht="16.5" customHeight="1" thickBot="1">
      <c r="A213" s="205"/>
      <c r="B213" s="206" t="s">
        <v>8</v>
      </c>
      <c r="C213" s="206" t="s">
        <v>7</v>
      </c>
      <c r="D213" s="206" t="s">
        <v>6</v>
      </c>
      <c r="E213" s="206" t="s">
        <v>5</v>
      </c>
      <c r="F213" s="206" t="s">
        <v>4</v>
      </c>
      <c r="G213" s="206" t="s">
        <v>3</v>
      </c>
      <c r="H213" s="206" t="s">
        <v>2</v>
      </c>
      <c r="I213" s="206" t="s">
        <v>1</v>
      </c>
      <c r="J213" s="206" t="s">
        <v>0</v>
      </c>
      <c r="K213" s="206" t="s">
        <v>1</v>
      </c>
      <c r="L213" s="206" t="s">
        <v>2</v>
      </c>
      <c r="M213" s="206" t="s">
        <v>3</v>
      </c>
      <c r="N213" s="206" t="s">
        <v>4</v>
      </c>
      <c r="O213" s="206" t="s">
        <v>5</v>
      </c>
      <c r="P213" s="206" t="s">
        <v>6</v>
      </c>
      <c r="Q213" s="206" t="s">
        <v>7</v>
      </c>
      <c r="R213" s="206" t="s">
        <v>8</v>
      </c>
      <c r="S213" s="207" t="e">
        <f>'6a-Hierarchy'!#REF!</f>
        <v>#REF!</v>
      </c>
    </row>
    <row r="214" spans="1:19" ht="16.5" customHeight="1" thickBot="1">
      <c r="A214" s="213" t="str">
        <f>'6a-Hierarchy'!$G$4</f>
        <v>Alt.3</v>
      </c>
      <c r="B214" s="222" t="s">
        <v>8</v>
      </c>
      <c r="C214" s="222" t="s">
        <v>7</v>
      </c>
      <c r="D214" s="222" t="s">
        <v>6</v>
      </c>
      <c r="E214" s="222" t="s">
        <v>5</v>
      </c>
      <c r="F214" s="222" t="s">
        <v>4</v>
      </c>
      <c r="G214" s="222" t="s">
        <v>3</v>
      </c>
      <c r="H214" s="222" t="s">
        <v>2</v>
      </c>
      <c r="I214" s="222" t="s">
        <v>1</v>
      </c>
      <c r="J214" s="222" t="s">
        <v>0</v>
      </c>
      <c r="K214" s="222" t="s">
        <v>1</v>
      </c>
      <c r="L214" s="222" t="s">
        <v>2</v>
      </c>
      <c r="M214" s="222" t="s">
        <v>3</v>
      </c>
      <c r="N214" s="222" t="s">
        <v>4</v>
      </c>
      <c r="O214" s="222" t="s">
        <v>5</v>
      </c>
      <c r="P214" s="222" t="s">
        <v>6</v>
      </c>
      <c r="Q214" s="222" t="s">
        <v>7</v>
      </c>
      <c r="R214" s="222" t="s">
        <v>8</v>
      </c>
      <c r="S214" s="214" t="e">
        <f>'6a-Hierarchy'!#REF!</f>
        <v>#REF!</v>
      </c>
    </row>
    <row r="215" spans="1:19" ht="7.5" customHeight="1" thickBot="1">
      <c r="A215" s="215"/>
      <c r="B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5"/>
    </row>
    <row r="216" spans="1:19" ht="18.75" customHeight="1" thickBot="1">
      <c r="A216" s="217"/>
      <c r="B216" s="218"/>
      <c r="C216" s="218"/>
      <c r="D216" s="218"/>
      <c r="E216" s="218"/>
      <c r="F216" s="218"/>
      <c r="G216" s="219"/>
      <c r="H216" s="219"/>
      <c r="I216" s="220">
        <f>'1b-Sub-Performance'!A12</f>
        <v>0</v>
      </c>
      <c r="J216" s="219" t="s">
        <v>14</v>
      </c>
      <c r="K216" s="219" t="s">
        <v>16</v>
      </c>
      <c r="L216" s="219"/>
      <c r="M216" s="219"/>
      <c r="N216" s="218"/>
      <c r="O216" s="218"/>
      <c r="P216" s="218"/>
      <c r="Q216" s="218"/>
      <c r="R216" s="218"/>
      <c r="S216" s="221"/>
    </row>
    <row r="217" spans="1:19" ht="33.75" customHeight="1" thickBot="1">
      <c r="A217" s="231" t="s">
        <v>227</v>
      </c>
      <c r="B217" s="232" t="s">
        <v>222</v>
      </c>
      <c r="C217" s="233"/>
      <c r="D217" s="232" t="s">
        <v>223</v>
      </c>
      <c r="E217" s="233"/>
      <c r="F217" s="232" t="s">
        <v>224</v>
      </c>
      <c r="G217" s="233"/>
      <c r="H217" s="232" t="s">
        <v>225</v>
      </c>
      <c r="I217" s="233"/>
      <c r="J217" s="232" t="s">
        <v>226</v>
      </c>
      <c r="K217" s="233"/>
      <c r="L217" s="232" t="s">
        <v>225</v>
      </c>
      <c r="M217" s="233"/>
      <c r="N217" s="232" t="s">
        <v>224</v>
      </c>
      <c r="O217" s="233"/>
      <c r="P217" s="232" t="s">
        <v>223</v>
      </c>
      <c r="Q217" s="233"/>
      <c r="R217" s="232" t="s">
        <v>222</v>
      </c>
      <c r="S217" s="234" t="s">
        <v>227</v>
      </c>
    </row>
    <row r="218" spans="1:19" ht="17.100000000000001" customHeight="1">
      <c r="A218" s="201" t="str">
        <f>'6a-Hierarchy'!$D$4</f>
        <v>Original</v>
      </c>
      <c r="B218" s="169" t="s">
        <v>8</v>
      </c>
      <c r="C218" s="169" t="s">
        <v>7</v>
      </c>
      <c r="D218" s="169" t="s">
        <v>6</v>
      </c>
      <c r="E218" s="169" t="s">
        <v>5</v>
      </c>
      <c r="F218" s="169" t="s">
        <v>4</v>
      </c>
      <c r="G218" s="169" t="s">
        <v>3</v>
      </c>
      <c r="H218" s="169" t="s">
        <v>2</v>
      </c>
      <c r="I218" s="169" t="s">
        <v>1</v>
      </c>
      <c r="J218" s="169" t="s">
        <v>0</v>
      </c>
      <c r="K218" s="169" t="s">
        <v>1</v>
      </c>
      <c r="L218" s="169" t="s">
        <v>2</v>
      </c>
      <c r="M218" s="169" t="s">
        <v>3</v>
      </c>
      <c r="N218" s="169" t="s">
        <v>4</v>
      </c>
      <c r="O218" s="169" t="s">
        <v>5</v>
      </c>
      <c r="P218" s="169" t="s">
        <v>6</v>
      </c>
      <c r="Q218" s="169" t="s">
        <v>7</v>
      </c>
      <c r="R218" s="169" t="s">
        <v>8</v>
      </c>
      <c r="S218" s="170" t="str">
        <f>'6a-Hierarchy'!$E$4</f>
        <v>Alt.1</v>
      </c>
    </row>
    <row r="219" spans="1:19" ht="16.5" customHeight="1">
      <c r="A219" s="202"/>
      <c r="B219" s="46" t="s">
        <v>8</v>
      </c>
      <c r="C219" s="46" t="s">
        <v>7</v>
      </c>
      <c r="D219" s="46" t="s">
        <v>6</v>
      </c>
      <c r="E219" s="46" t="s">
        <v>5</v>
      </c>
      <c r="F219" s="46" t="s">
        <v>4</v>
      </c>
      <c r="G219" s="46" t="s">
        <v>3</v>
      </c>
      <c r="H219" s="46" t="s">
        <v>2</v>
      </c>
      <c r="I219" s="46" t="s">
        <v>1</v>
      </c>
      <c r="J219" s="46" t="s">
        <v>0</v>
      </c>
      <c r="K219" s="46" t="s">
        <v>1</v>
      </c>
      <c r="L219" s="46" t="s">
        <v>2</v>
      </c>
      <c r="M219" s="46" t="s">
        <v>3</v>
      </c>
      <c r="N219" s="46" t="s">
        <v>4</v>
      </c>
      <c r="O219" s="46" t="s">
        <v>5</v>
      </c>
      <c r="P219" s="46" t="s">
        <v>6</v>
      </c>
      <c r="Q219" s="46" t="s">
        <v>7</v>
      </c>
      <c r="R219" s="46" t="s">
        <v>8</v>
      </c>
      <c r="S219" s="203" t="str">
        <f>'6a-Hierarchy'!$F$4</f>
        <v>Alt.2</v>
      </c>
    </row>
    <row r="220" spans="1:19" ht="16.5" customHeight="1">
      <c r="A220" s="202"/>
      <c r="B220" s="46" t="s">
        <v>8</v>
      </c>
      <c r="C220" s="46" t="s">
        <v>7</v>
      </c>
      <c r="D220" s="46" t="s">
        <v>6</v>
      </c>
      <c r="E220" s="46" t="s">
        <v>5</v>
      </c>
      <c r="F220" s="46" t="s">
        <v>4</v>
      </c>
      <c r="G220" s="46" t="s">
        <v>3</v>
      </c>
      <c r="H220" s="46" t="s">
        <v>2</v>
      </c>
      <c r="I220" s="46" t="s">
        <v>1</v>
      </c>
      <c r="J220" s="46" t="s">
        <v>0</v>
      </c>
      <c r="K220" s="46" t="s">
        <v>1</v>
      </c>
      <c r="L220" s="46" t="s">
        <v>2</v>
      </c>
      <c r="M220" s="46" t="s">
        <v>3</v>
      </c>
      <c r="N220" s="46" t="s">
        <v>4</v>
      </c>
      <c r="O220" s="46" t="s">
        <v>5</v>
      </c>
      <c r="P220" s="46" t="s">
        <v>6</v>
      </c>
      <c r="Q220" s="46" t="s">
        <v>7</v>
      </c>
      <c r="R220" s="46" t="s">
        <v>8</v>
      </c>
      <c r="S220" s="203" t="str">
        <f>'6a-Hierarchy'!$G$4</f>
        <v>Alt.3</v>
      </c>
    </row>
    <row r="221" spans="1:19" ht="16.5" customHeight="1" thickBot="1">
      <c r="A221" s="205"/>
      <c r="B221" s="206" t="s">
        <v>8</v>
      </c>
      <c r="C221" s="206" t="s">
        <v>7</v>
      </c>
      <c r="D221" s="206" t="s">
        <v>6</v>
      </c>
      <c r="E221" s="206" t="s">
        <v>5</v>
      </c>
      <c r="F221" s="206" t="s">
        <v>4</v>
      </c>
      <c r="G221" s="206" t="s">
        <v>3</v>
      </c>
      <c r="H221" s="206" t="s">
        <v>2</v>
      </c>
      <c r="I221" s="206" t="s">
        <v>1</v>
      </c>
      <c r="J221" s="206" t="s">
        <v>0</v>
      </c>
      <c r="K221" s="206" t="s">
        <v>1</v>
      </c>
      <c r="L221" s="206" t="s">
        <v>2</v>
      </c>
      <c r="M221" s="206" t="s">
        <v>3</v>
      </c>
      <c r="N221" s="206" t="s">
        <v>4</v>
      </c>
      <c r="O221" s="206" t="s">
        <v>5</v>
      </c>
      <c r="P221" s="206" t="s">
        <v>6</v>
      </c>
      <c r="Q221" s="206" t="s">
        <v>7</v>
      </c>
      <c r="R221" s="206" t="s">
        <v>8</v>
      </c>
      <c r="S221" s="207" t="e">
        <f>'6a-Hierarchy'!#REF!</f>
        <v>#REF!</v>
      </c>
    </row>
    <row r="222" spans="1:19" ht="16.5" customHeight="1">
      <c r="A222" s="201" t="str">
        <f>'6a-Hierarchy'!$E$4</f>
        <v>Alt.1</v>
      </c>
      <c r="B222" s="169" t="s">
        <v>8</v>
      </c>
      <c r="C222" s="169" t="s">
        <v>7</v>
      </c>
      <c r="D222" s="169" t="s">
        <v>6</v>
      </c>
      <c r="E222" s="169" t="s">
        <v>5</v>
      </c>
      <c r="F222" s="169" t="s">
        <v>4</v>
      </c>
      <c r="G222" s="169" t="s">
        <v>3</v>
      </c>
      <c r="H222" s="169" t="s">
        <v>2</v>
      </c>
      <c r="I222" s="169" t="s">
        <v>1</v>
      </c>
      <c r="J222" s="169" t="s">
        <v>0</v>
      </c>
      <c r="K222" s="169" t="s">
        <v>1</v>
      </c>
      <c r="L222" s="169" t="s">
        <v>2</v>
      </c>
      <c r="M222" s="169" t="s">
        <v>3</v>
      </c>
      <c r="N222" s="169" t="s">
        <v>4</v>
      </c>
      <c r="O222" s="169" t="s">
        <v>5</v>
      </c>
      <c r="P222" s="169" t="s">
        <v>6</v>
      </c>
      <c r="Q222" s="169" t="s">
        <v>7</v>
      </c>
      <c r="R222" s="169" t="s">
        <v>8</v>
      </c>
      <c r="S222" s="170" t="str">
        <f>'6a-Hierarchy'!$F$4</f>
        <v>Alt.2</v>
      </c>
    </row>
    <row r="223" spans="1:19" ht="16.5" customHeight="1">
      <c r="A223" s="202"/>
      <c r="B223" s="46" t="s">
        <v>8</v>
      </c>
      <c r="C223" s="46" t="s">
        <v>7</v>
      </c>
      <c r="D223" s="46" t="s">
        <v>6</v>
      </c>
      <c r="E223" s="46" t="s">
        <v>5</v>
      </c>
      <c r="F223" s="46" t="s">
        <v>4</v>
      </c>
      <c r="G223" s="46" t="s">
        <v>3</v>
      </c>
      <c r="H223" s="46" t="s">
        <v>2</v>
      </c>
      <c r="I223" s="46" t="s">
        <v>1</v>
      </c>
      <c r="J223" s="46" t="s">
        <v>0</v>
      </c>
      <c r="K223" s="46" t="s">
        <v>1</v>
      </c>
      <c r="L223" s="46" t="s">
        <v>2</v>
      </c>
      <c r="M223" s="46" t="s">
        <v>3</v>
      </c>
      <c r="N223" s="46" t="s">
        <v>4</v>
      </c>
      <c r="O223" s="46" t="s">
        <v>5</v>
      </c>
      <c r="P223" s="46" t="s">
        <v>6</v>
      </c>
      <c r="Q223" s="46" t="s">
        <v>7</v>
      </c>
      <c r="R223" s="46" t="s">
        <v>8</v>
      </c>
      <c r="S223" s="203" t="str">
        <f>'6a-Hierarchy'!$G$4</f>
        <v>Alt.3</v>
      </c>
    </row>
    <row r="224" spans="1:19" ht="16.5" customHeight="1" thickBot="1">
      <c r="A224" s="205"/>
      <c r="B224" s="206" t="s">
        <v>8</v>
      </c>
      <c r="C224" s="206" t="s">
        <v>7</v>
      </c>
      <c r="D224" s="206" t="s">
        <v>6</v>
      </c>
      <c r="E224" s="206" t="s">
        <v>5</v>
      </c>
      <c r="F224" s="206" t="s">
        <v>4</v>
      </c>
      <c r="G224" s="206" t="s">
        <v>3</v>
      </c>
      <c r="H224" s="206" t="s">
        <v>2</v>
      </c>
      <c r="I224" s="206" t="s">
        <v>1</v>
      </c>
      <c r="J224" s="206" t="s">
        <v>0</v>
      </c>
      <c r="K224" s="206" t="s">
        <v>1</v>
      </c>
      <c r="L224" s="206" t="s">
        <v>2</v>
      </c>
      <c r="M224" s="206" t="s">
        <v>3</v>
      </c>
      <c r="N224" s="206" t="s">
        <v>4</v>
      </c>
      <c r="O224" s="206" t="s">
        <v>5</v>
      </c>
      <c r="P224" s="206" t="s">
        <v>6</v>
      </c>
      <c r="Q224" s="206" t="s">
        <v>7</v>
      </c>
      <c r="R224" s="206" t="s">
        <v>8</v>
      </c>
      <c r="S224" s="207" t="e">
        <f>'6a-Hierarchy'!#REF!</f>
        <v>#REF!</v>
      </c>
    </row>
    <row r="225" spans="1:19" ht="16.5" customHeight="1">
      <c r="A225" s="201" t="str">
        <f>'6a-Hierarchy'!$F$4</f>
        <v>Alt.2</v>
      </c>
      <c r="B225" s="169" t="s">
        <v>8</v>
      </c>
      <c r="C225" s="169" t="s">
        <v>7</v>
      </c>
      <c r="D225" s="169" t="s">
        <v>6</v>
      </c>
      <c r="E225" s="169" t="s">
        <v>5</v>
      </c>
      <c r="F225" s="169" t="s">
        <v>4</v>
      </c>
      <c r="G225" s="169" t="s">
        <v>3</v>
      </c>
      <c r="H225" s="169" t="s">
        <v>2</v>
      </c>
      <c r="I225" s="169" t="s">
        <v>1</v>
      </c>
      <c r="J225" s="169" t="s">
        <v>0</v>
      </c>
      <c r="K225" s="169" t="s">
        <v>1</v>
      </c>
      <c r="L225" s="169" t="s">
        <v>2</v>
      </c>
      <c r="M225" s="169" t="s">
        <v>3</v>
      </c>
      <c r="N225" s="169" t="s">
        <v>4</v>
      </c>
      <c r="O225" s="169" t="s">
        <v>5</v>
      </c>
      <c r="P225" s="169" t="s">
        <v>6</v>
      </c>
      <c r="Q225" s="169" t="s">
        <v>7</v>
      </c>
      <c r="R225" s="169" t="s">
        <v>8</v>
      </c>
      <c r="S225" s="170" t="str">
        <f>'6a-Hierarchy'!$G$4</f>
        <v>Alt.3</v>
      </c>
    </row>
    <row r="226" spans="1:19" ht="16.5" customHeight="1" thickBot="1">
      <c r="A226" s="205"/>
      <c r="B226" s="206" t="s">
        <v>8</v>
      </c>
      <c r="C226" s="206" t="s">
        <v>7</v>
      </c>
      <c r="D226" s="206" t="s">
        <v>6</v>
      </c>
      <c r="E226" s="206" t="s">
        <v>5</v>
      </c>
      <c r="F226" s="206" t="s">
        <v>4</v>
      </c>
      <c r="G226" s="206" t="s">
        <v>3</v>
      </c>
      <c r="H226" s="206" t="s">
        <v>2</v>
      </c>
      <c r="I226" s="206" t="s">
        <v>1</v>
      </c>
      <c r="J226" s="206" t="s">
        <v>0</v>
      </c>
      <c r="K226" s="206" t="s">
        <v>1</v>
      </c>
      <c r="L226" s="206" t="s">
        <v>2</v>
      </c>
      <c r="M226" s="206" t="s">
        <v>3</v>
      </c>
      <c r="N226" s="206" t="s">
        <v>4</v>
      </c>
      <c r="O226" s="206" t="s">
        <v>5</v>
      </c>
      <c r="P226" s="206" t="s">
        <v>6</v>
      </c>
      <c r="Q226" s="206" t="s">
        <v>7</v>
      </c>
      <c r="R226" s="206" t="s">
        <v>8</v>
      </c>
      <c r="S226" s="207" t="e">
        <f>'6a-Hierarchy'!#REF!</f>
        <v>#REF!</v>
      </c>
    </row>
    <row r="227" spans="1:19" ht="16.5" customHeight="1" thickBot="1">
      <c r="A227" s="213" t="str">
        <f>'6a-Hierarchy'!$G$4</f>
        <v>Alt.3</v>
      </c>
      <c r="B227" s="222" t="s">
        <v>8</v>
      </c>
      <c r="C227" s="222" t="s">
        <v>7</v>
      </c>
      <c r="D227" s="222" t="s">
        <v>6</v>
      </c>
      <c r="E227" s="222" t="s">
        <v>5</v>
      </c>
      <c r="F227" s="222" t="s">
        <v>4</v>
      </c>
      <c r="G227" s="222" t="s">
        <v>3</v>
      </c>
      <c r="H227" s="222" t="s">
        <v>2</v>
      </c>
      <c r="I227" s="222" t="s">
        <v>1</v>
      </c>
      <c r="J227" s="222" t="s">
        <v>0</v>
      </c>
      <c r="K227" s="222" t="s">
        <v>1</v>
      </c>
      <c r="L227" s="222" t="s">
        <v>2</v>
      </c>
      <c r="M227" s="222" t="s">
        <v>3</v>
      </c>
      <c r="N227" s="222" t="s">
        <v>4</v>
      </c>
      <c r="O227" s="222" t="s">
        <v>5</v>
      </c>
      <c r="P227" s="222" t="s">
        <v>6</v>
      </c>
      <c r="Q227" s="222" t="s">
        <v>7</v>
      </c>
      <c r="R227" s="222" t="s">
        <v>8</v>
      </c>
      <c r="S227" s="214" t="e">
        <f>'6a-Hierarchy'!#REF!</f>
        <v>#REF!</v>
      </c>
    </row>
    <row r="228" spans="1:19" ht="7.5" customHeight="1" thickBot="1">
      <c r="A228" s="215"/>
      <c r="B228" s="216"/>
      <c r="C228" s="216"/>
      <c r="D228" s="216"/>
      <c r="E228" s="216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5"/>
    </row>
    <row r="229" spans="1:19" ht="18.75" customHeight="1" thickBot="1">
      <c r="A229" s="217"/>
      <c r="B229" s="218"/>
      <c r="C229" s="218"/>
      <c r="D229" s="218"/>
      <c r="E229" s="218"/>
      <c r="F229" s="218"/>
      <c r="G229" s="219"/>
      <c r="H229" s="219"/>
      <c r="I229" s="220" t="e">
        <f>'1b-Sub-Performance'!#REF!</f>
        <v>#REF!</v>
      </c>
      <c r="J229" s="219" t="s">
        <v>14</v>
      </c>
      <c r="K229" s="219" t="s">
        <v>16</v>
      </c>
      <c r="L229" s="219"/>
      <c r="M229" s="219"/>
      <c r="N229" s="218"/>
      <c r="O229" s="218"/>
      <c r="P229" s="218"/>
      <c r="Q229" s="218"/>
      <c r="R229" s="218"/>
      <c r="S229" s="221"/>
    </row>
    <row r="230" spans="1:19" ht="33.75" customHeight="1" thickBot="1">
      <c r="A230" s="231" t="s">
        <v>227</v>
      </c>
      <c r="B230" s="232" t="s">
        <v>222</v>
      </c>
      <c r="C230" s="233"/>
      <c r="D230" s="232" t="s">
        <v>223</v>
      </c>
      <c r="E230" s="233"/>
      <c r="F230" s="232" t="s">
        <v>224</v>
      </c>
      <c r="G230" s="233"/>
      <c r="H230" s="232" t="s">
        <v>225</v>
      </c>
      <c r="I230" s="233"/>
      <c r="J230" s="232" t="s">
        <v>226</v>
      </c>
      <c r="K230" s="233"/>
      <c r="L230" s="232" t="s">
        <v>225</v>
      </c>
      <c r="M230" s="233"/>
      <c r="N230" s="232" t="s">
        <v>224</v>
      </c>
      <c r="O230" s="233"/>
      <c r="P230" s="232" t="s">
        <v>223</v>
      </c>
      <c r="Q230" s="233"/>
      <c r="R230" s="232" t="s">
        <v>222</v>
      </c>
      <c r="S230" s="234" t="s">
        <v>227</v>
      </c>
    </row>
    <row r="231" spans="1:19" ht="17.100000000000001" customHeight="1">
      <c r="A231" s="201" t="str">
        <f>'6a-Hierarchy'!$D$4</f>
        <v>Original</v>
      </c>
      <c r="B231" s="169" t="s">
        <v>8</v>
      </c>
      <c r="C231" s="169" t="s">
        <v>7</v>
      </c>
      <c r="D231" s="169" t="s">
        <v>6</v>
      </c>
      <c r="E231" s="169" t="s">
        <v>5</v>
      </c>
      <c r="F231" s="169" t="s">
        <v>4</v>
      </c>
      <c r="G231" s="169" t="s">
        <v>3</v>
      </c>
      <c r="H231" s="169" t="s">
        <v>2</v>
      </c>
      <c r="I231" s="169" t="s">
        <v>1</v>
      </c>
      <c r="J231" s="169" t="s">
        <v>0</v>
      </c>
      <c r="K231" s="169" t="s">
        <v>1</v>
      </c>
      <c r="L231" s="169" t="s">
        <v>2</v>
      </c>
      <c r="M231" s="169" t="s">
        <v>3</v>
      </c>
      <c r="N231" s="169" t="s">
        <v>4</v>
      </c>
      <c r="O231" s="169" t="s">
        <v>5</v>
      </c>
      <c r="P231" s="169" t="s">
        <v>6</v>
      </c>
      <c r="Q231" s="169" t="s">
        <v>7</v>
      </c>
      <c r="R231" s="169" t="s">
        <v>8</v>
      </c>
      <c r="S231" s="170" t="str">
        <f>'6a-Hierarchy'!$E$4</f>
        <v>Alt.1</v>
      </c>
    </row>
    <row r="232" spans="1:19" ht="16.5" customHeight="1">
      <c r="A232" s="202"/>
      <c r="B232" s="46" t="s">
        <v>8</v>
      </c>
      <c r="C232" s="46" t="s">
        <v>7</v>
      </c>
      <c r="D232" s="46" t="s">
        <v>6</v>
      </c>
      <c r="E232" s="46" t="s">
        <v>5</v>
      </c>
      <c r="F232" s="46" t="s">
        <v>4</v>
      </c>
      <c r="G232" s="46" t="s">
        <v>3</v>
      </c>
      <c r="H232" s="46" t="s">
        <v>2</v>
      </c>
      <c r="I232" s="46" t="s">
        <v>1</v>
      </c>
      <c r="J232" s="46" t="s">
        <v>0</v>
      </c>
      <c r="K232" s="46" t="s">
        <v>1</v>
      </c>
      <c r="L232" s="46" t="s">
        <v>2</v>
      </c>
      <c r="M232" s="46" t="s">
        <v>3</v>
      </c>
      <c r="N232" s="46" t="s">
        <v>4</v>
      </c>
      <c r="O232" s="46" t="s">
        <v>5</v>
      </c>
      <c r="P232" s="46" t="s">
        <v>6</v>
      </c>
      <c r="Q232" s="46" t="s">
        <v>7</v>
      </c>
      <c r="R232" s="46" t="s">
        <v>8</v>
      </c>
      <c r="S232" s="203" t="str">
        <f>'6a-Hierarchy'!$F$4</f>
        <v>Alt.2</v>
      </c>
    </row>
    <row r="233" spans="1:19" ht="16.5" customHeight="1">
      <c r="A233" s="202"/>
      <c r="B233" s="46" t="s">
        <v>8</v>
      </c>
      <c r="C233" s="46" t="s">
        <v>7</v>
      </c>
      <c r="D233" s="46" t="s">
        <v>6</v>
      </c>
      <c r="E233" s="46" t="s">
        <v>5</v>
      </c>
      <c r="F233" s="46" t="s">
        <v>4</v>
      </c>
      <c r="G233" s="46" t="s">
        <v>3</v>
      </c>
      <c r="H233" s="46" t="s">
        <v>2</v>
      </c>
      <c r="I233" s="46" t="s">
        <v>1</v>
      </c>
      <c r="J233" s="46" t="s">
        <v>0</v>
      </c>
      <c r="K233" s="46" t="s">
        <v>1</v>
      </c>
      <c r="L233" s="46" t="s">
        <v>2</v>
      </c>
      <c r="M233" s="46" t="s">
        <v>3</v>
      </c>
      <c r="N233" s="46" t="s">
        <v>4</v>
      </c>
      <c r="O233" s="46" t="s">
        <v>5</v>
      </c>
      <c r="P233" s="46" t="s">
        <v>6</v>
      </c>
      <c r="Q233" s="46" t="s">
        <v>7</v>
      </c>
      <c r="R233" s="46" t="s">
        <v>8</v>
      </c>
      <c r="S233" s="203" t="str">
        <f>'6a-Hierarchy'!$G$4</f>
        <v>Alt.3</v>
      </c>
    </row>
    <row r="234" spans="1:19" ht="16.5" customHeight="1" thickBot="1">
      <c r="A234" s="205"/>
      <c r="B234" s="206" t="s">
        <v>8</v>
      </c>
      <c r="C234" s="206" t="s">
        <v>7</v>
      </c>
      <c r="D234" s="206" t="s">
        <v>6</v>
      </c>
      <c r="E234" s="206" t="s">
        <v>5</v>
      </c>
      <c r="F234" s="206" t="s">
        <v>4</v>
      </c>
      <c r="G234" s="206" t="s">
        <v>3</v>
      </c>
      <c r="H234" s="206" t="s">
        <v>2</v>
      </c>
      <c r="I234" s="206" t="s">
        <v>1</v>
      </c>
      <c r="J234" s="206" t="s">
        <v>0</v>
      </c>
      <c r="K234" s="206" t="s">
        <v>1</v>
      </c>
      <c r="L234" s="206" t="s">
        <v>2</v>
      </c>
      <c r="M234" s="206" t="s">
        <v>3</v>
      </c>
      <c r="N234" s="206" t="s">
        <v>4</v>
      </c>
      <c r="O234" s="206" t="s">
        <v>5</v>
      </c>
      <c r="P234" s="206" t="s">
        <v>6</v>
      </c>
      <c r="Q234" s="206" t="s">
        <v>7</v>
      </c>
      <c r="R234" s="206" t="s">
        <v>8</v>
      </c>
      <c r="S234" s="207" t="e">
        <f>'6a-Hierarchy'!#REF!</f>
        <v>#REF!</v>
      </c>
    </row>
    <row r="235" spans="1:19" ht="16.5" customHeight="1">
      <c r="A235" s="201" t="str">
        <f>'6a-Hierarchy'!$E$4</f>
        <v>Alt.1</v>
      </c>
      <c r="B235" s="169" t="s">
        <v>8</v>
      </c>
      <c r="C235" s="169" t="s">
        <v>7</v>
      </c>
      <c r="D235" s="169" t="s">
        <v>6</v>
      </c>
      <c r="E235" s="169" t="s">
        <v>5</v>
      </c>
      <c r="F235" s="169" t="s">
        <v>4</v>
      </c>
      <c r="G235" s="169" t="s">
        <v>3</v>
      </c>
      <c r="H235" s="169" t="s">
        <v>2</v>
      </c>
      <c r="I235" s="169" t="s">
        <v>1</v>
      </c>
      <c r="J235" s="169" t="s">
        <v>0</v>
      </c>
      <c r="K235" s="169" t="s">
        <v>1</v>
      </c>
      <c r="L235" s="169" t="s">
        <v>2</v>
      </c>
      <c r="M235" s="169" t="s">
        <v>3</v>
      </c>
      <c r="N235" s="169" t="s">
        <v>4</v>
      </c>
      <c r="O235" s="169" t="s">
        <v>5</v>
      </c>
      <c r="P235" s="169" t="s">
        <v>6</v>
      </c>
      <c r="Q235" s="169" t="s">
        <v>7</v>
      </c>
      <c r="R235" s="169" t="s">
        <v>8</v>
      </c>
      <c r="S235" s="170" t="str">
        <f>'6a-Hierarchy'!$F$4</f>
        <v>Alt.2</v>
      </c>
    </row>
    <row r="236" spans="1:19" ht="16.5" customHeight="1">
      <c r="A236" s="202"/>
      <c r="B236" s="46" t="s">
        <v>8</v>
      </c>
      <c r="C236" s="46" t="s">
        <v>7</v>
      </c>
      <c r="D236" s="46" t="s">
        <v>6</v>
      </c>
      <c r="E236" s="46" t="s">
        <v>5</v>
      </c>
      <c r="F236" s="46" t="s">
        <v>4</v>
      </c>
      <c r="G236" s="46" t="s">
        <v>3</v>
      </c>
      <c r="H236" s="46" t="s">
        <v>2</v>
      </c>
      <c r="I236" s="46" t="s">
        <v>1</v>
      </c>
      <c r="J236" s="46" t="s">
        <v>0</v>
      </c>
      <c r="K236" s="46" t="s">
        <v>1</v>
      </c>
      <c r="L236" s="46" t="s">
        <v>2</v>
      </c>
      <c r="M236" s="46" t="s">
        <v>3</v>
      </c>
      <c r="N236" s="46" t="s">
        <v>4</v>
      </c>
      <c r="O236" s="46" t="s">
        <v>5</v>
      </c>
      <c r="P236" s="46" t="s">
        <v>6</v>
      </c>
      <c r="Q236" s="46" t="s">
        <v>7</v>
      </c>
      <c r="R236" s="46" t="s">
        <v>8</v>
      </c>
      <c r="S236" s="203" t="str">
        <f>'6a-Hierarchy'!$G$4</f>
        <v>Alt.3</v>
      </c>
    </row>
    <row r="237" spans="1:19" ht="16.5" customHeight="1" thickBot="1">
      <c r="A237" s="205"/>
      <c r="B237" s="206" t="s">
        <v>8</v>
      </c>
      <c r="C237" s="206" t="s">
        <v>7</v>
      </c>
      <c r="D237" s="206" t="s">
        <v>6</v>
      </c>
      <c r="E237" s="206" t="s">
        <v>5</v>
      </c>
      <c r="F237" s="206" t="s">
        <v>4</v>
      </c>
      <c r="G237" s="206" t="s">
        <v>3</v>
      </c>
      <c r="H237" s="206" t="s">
        <v>2</v>
      </c>
      <c r="I237" s="206" t="s">
        <v>1</v>
      </c>
      <c r="J237" s="206" t="s">
        <v>0</v>
      </c>
      <c r="K237" s="206" t="s">
        <v>1</v>
      </c>
      <c r="L237" s="206" t="s">
        <v>2</v>
      </c>
      <c r="M237" s="206" t="s">
        <v>3</v>
      </c>
      <c r="N237" s="206" t="s">
        <v>4</v>
      </c>
      <c r="O237" s="206" t="s">
        <v>5</v>
      </c>
      <c r="P237" s="206" t="s">
        <v>6</v>
      </c>
      <c r="Q237" s="206" t="s">
        <v>7</v>
      </c>
      <c r="R237" s="206" t="s">
        <v>8</v>
      </c>
      <c r="S237" s="207" t="e">
        <f>'6a-Hierarchy'!#REF!</f>
        <v>#REF!</v>
      </c>
    </row>
    <row r="238" spans="1:19" ht="16.5" customHeight="1">
      <c r="A238" s="201" t="str">
        <f>'6a-Hierarchy'!$F$4</f>
        <v>Alt.2</v>
      </c>
      <c r="B238" s="169" t="s">
        <v>8</v>
      </c>
      <c r="C238" s="169" t="s">
        <v>7</v>
      </c>
      <c r="D238" s="169" t="s">
        <v>6</v>
      </c>
      <c r="E238" s="169" t="s">
        <v>5</v>
      </c>
      <c r="F238" s="169" t="s">
        <v>4</v>
      </c>
      <c r="G238" s="169" t="s">
        <v>3</v>
      </c>
      <c r="H238" s="169" t="s">
        <v>2</v>
      </c>
      <c r="I238" s="169" t="s">
        <v>1</v>
      </c>
      <c r="J238" s="169" t="s">
        <v>0</v>
      </c>
      <c r="K238" s="169" t="s">
        <v>1</v>
      </c>
      <c r="L238" s="169" t="s">
        <v>2</v>
      </c>
      <c r="M238" s="169" t="s">
        <v>3</v>
      </c>
      <c r="N238" s="169" t="s">
        <v>4</v>
      </c>
      <c r="O238" s="169" t="s">
        <v>5</v>
      </c>
      <c r="P238" s="169" t="s">
        <v>6</v>
      </c>
      <c r="Q238" s="169" t="s">
        <v>7</v>
      </c>
      <c r="R238" s="169" t="s">
        <v>8</v>
      </c>
      <c r="S238" s="170" t="str">
        <f>'6a-Hierarchy'!$G$4</f>
        <v>Alt.3</v>
      </c>
    </row>
    <row r="239" spans="1:19" ht="16.5" customHeight="1" thickBot="1">
      <c r="A239" s="205"/>
      <c r="B239" s="206" t="s">
        <v>8</v>
      </c>
      <c r="C239" s="206" t="s">
        <v>7</v>
      </c>
      <c r="D239" s="206" t="s">
        <v>6</v>
      </c>
      <c r="E239" s="206" t="s">
        <v>5</v>
      </c>
      <c r="F239" s="206" t="s">
        <v>4</v>
      </c>
      <c r="G239" s="206" t="s">
        <v>3</v>
      </c>
      <c r="H239" s="206" t="s">
        <v>2</v>
      </c>
      <c r="I239" s="206" t="s">
        <v>1</v>
      </c>
      <c r="J239" s="206" t="s">
        <v>0</v>
      </c>
      <c r="K239" s="206" t="s">
        <v>1</v>
      </c>
      <c r="L239" s="206" t="s">
        <v>2</v>
      </c>
      <c r="M239" s="206" t="s">
        <v>3</v>
      </c>
      <c r="N239" s="206" t="s">
        <v>4</v>
      </c>
      <c r="O239" s="206" t="s">
        <v>5</v>
      </c>
      <c r="P239" s="206" t="s">
        <v>6</v>
      </c>
      <c r="Q239" s="206" t="s">
        <v>7</v>
      </c>
      <c r="R239" s="206" t="s">
        <v>8</v>
      </c>
      <c r="S239" s="207" t="e">
        <f>'6a-Hierarchy'!#REF!</f>
        <v>#REF!</v>
      </c>
    </row>
    <row r="240" spans="1:19" ht="16.5" customHeight="1" thickBot="1">
      <c r="A240" s="213" t="str">
        <f>'6a-Hierarchy'!$G$4</f>
        <v>Alt.3</v>
      </c>
      <c r="B240" s="222" t="s">
        <v>8</v>
      </c>
      <c r="C240" s="222" t="s">
        <v>7</v>
      </c>
      <c r="D240" s="222" t="s">
        <v>6</v>
      </c>
      <c r="E240" s="222" t="s">
        <v>5</v>
      </c>
      <c r="F240" s="222" t="s">
        <v>4</v>
      </c>
      <c r="G240" s="222" t="s">
        <v>3</v>
      </c>
      <c r="H240" s="222" t="s">
        <v>2</v>
      </c>
      <c r="I240" s="222" t="s">
        <v>1</v>
      </c>
      <c r="J240" s="222" t="s">
        <v>0</v>
      </c>
      <c r="K240" s="222" t="s">
        <v>1</v>
      </c>
      <c r="L240" s="222" t="s">
        <v>2</v>
      </c>
      <c r="M240" s="222" t="s">
        <v>3</v>
      </c>
      <c r="N240" s="222" t="s">
        <v>4</v>
      </c>
      <c r="O240" s="222" t="s">
        <v>5</v>
      </c>
      <c r="P240" s="222" t="s">
        <v>6</v>
      </c>
      <c r="Q240" s="222" t="s">
        <v>7</v>
      </c>
      <c r="R240" s="222" t="s">
        <v>8</v>
      </c>
      <c r="S240" s="214" t="e">
        <f>'6a-Hierarchy'!#REF!</f>
        <v>#REF!</v>
      </c>
    </row>
    <row r="241" spans="1:19" ht="7.5" customHeight="1" thickBot="1">
      <c r="A241" s="215"/>
      <c r="B241" s="216"/>
      <c r="C241" s="216"/>
      <c r="D241" s="216"/>
      <c r="E241" s="216"/>
      <c r="F241" s="216"/>
      <c r="G241" s="216"/>
      <c r="H241" s="216"/>
      <c r="I241" s="216"/>
      <c r="J241" s="216"/>
      <c r="K241" s="216"/>
      <c r="L241" s="216"/>
      <c r="M241" s="216"/>
      <c r="N241" s="216"/>
      <c r="O241" s="216"/>
      <c r="P241" s="216"/>
      <c r="Q241" s="216"/>
      <c r="R241" s="216"/>
      <c r="S241" s="215"/>
    </row>
    <row r="242" spans="1:19" ht="18.75" customHeight="1" thickBot="1">
      <c r="A242" s="217"/>
      <c r="B242" s="218"/>
      <c r="C242" s="218"/>
      <c r="D242" s="218"/>
      <c r="E242" s="218"/>
      <c r="F242" s="218"/>
      <c r="G242" s="219"/>
      <c r="H242" s="219"/>
      <c r="I242" s="220">
        <f>'1b-Sub-Performance'!A13</f>
        <v>0</v>
      </c>
      <c r="J242" s="219" t="s">
        <v>14</v>
      </c>
      <c r="K242" s="219" t="s">
        <v>16</v>
      </c>
      <c r="L242" s="219"/>
      <c r="M242" s="219"/>
      <c r="N242" s="218"/>
      <c r="O242" s="218"/>
      <c r="P242" s="218"/>
      <c r="Q242" s="218"/>
      <c r="R242" s="218"/>
      <c r="S242" s="221"/>
    </row>
    <row r="243" spans="1:19" ht="33.75" customHeight="1" thickBot="1">
      <c r="A243" s="231" t="s">
        <v>227</v>
      </c>
      <c r="B243" s="232" t="s">
        <v>222</v>
      </c>
      <c r="C243" s="233"/>
      <c r="D243" s="232" t="s">
        <v>223</v>
      </c>
      <c r="E243" s="233"/>
      <c r="F243" s="232" t="s">
        <v>224</v>
      </c>
      <c r="G243" s="233"/>
      <c r="H243" s="232" t="s">
        <v>225</v>
      </c>
      <c r="I243" s="233"/>
      <c r="J243" s="232" t="s">
        <v>226</v>
      </c>
      <c r="K243" s="233"/>
      <c r="L243" s="232" t="s">
        <v>225</v>
      </c>
      <c r="M243" s="233"/>
      <c r="N243" s="232" t="s">
        <v>224</v>
      </c>
      <c r="O243" s="233"/>
      <c r="P243" s="232" t="s">
        <v>223</v>
      </c>
      <c r="Q243" s="233"/>
      <c r="R243" s="232" t="s">
        <v>222</v>
      </c>
      <c r="S243" s="234" t="s">
        <v>227</v>
      </c>
    </row>
    <row r="244" spans="1:19" ht="17.100000000000001" customHeight="1">
      <c r="A244" s="201" t="str">
        <f>'6a-Hierarchy'!$D$4</f>
        <v>Original</v>
      </c>
      <c r="B244" s="169" t="s">
        <v>8</v>
      </c>
      <c r="C244" s="169" t="s">
        <v>7</v>
      </c>
      <c r="D244" s="169" t="s">
        <v>6</v>
      </c>
      <c r="E244" s="169" t="s">
        <v>5</v>
      </c>
      <c r="F244" s="169" t="s">
        <v>4</v>
      </c>
      <c r="G244" s="169" t="s">
        <v>3</v>
      </c>
      <c r="H244" s="169" t="s">
        <v>2</v>
      </c>
      <c r="I244" s="169" t="s">
        <v>1</v>
      </c>
      <c r="J244" s="169" t="s">
        <v>0</v>
      </c>
      <c r="K244" s="169" t="s">
        <v>1</v>
      </c>
      <c r="L244" s="169" t="s">
        <v>2</v>
      </c>
      <c r="M244" s="169" t="s">
        <v>3</v>
      </c>
      <c r="N244" s="169" t="s">
        <v>4</v>
      </c>
      <c r="O244" s="169" t="s">
        <v>5</v>
      </c>
      <c r="P244" s="169" t="s">
        <v>6</v>
      </c>
      <c r="Q244" s="169" t="s">
        <v>7</v>
      </c>
      <c r="R244" s="169" t="s">
        <v>8</v>
      </c>
      <c r="S244" s="170" t="str">
        <f>'6a-Hierarchy'!$E$4</f>
        <v>Alt.1</v>
      </c>
    </row>
    <row r="245" spans="1:19" ht="16.5" customHeight="1">
      <c r="A245" s="202"/>
      <c r="B245" s="46" t="s">
        <v>8</v>
      </c>
      <c r="C245" s="46" t="s">
        <v>7</v>
      </c>
      <c r="D245" s="46" t="s">
        <v>6</v>
      </c>
      <c r="E245" s="46" t="s">
        <v>5</v>
      </c>
      <c r="F245" s="46" t="s">
        <v>4</v>
      </c>
      <c r="G245" s="46" t="s">
        <v>3</v>
      </c>
      <c r="H245" s="46" t="s">
        <v>2</v>
      </c>
      <c r="I245" s="46" t="s">
        <v>1</v>
      </c>
      <c r="J245" s="46" t="s">
        <v>0</v>
      </c>
      <c r="K245" s="46" t="s">
        <v>1</v>
      </c>
      <c r="L245" s="46" t="s">
        <v>2</v>
      </c>
      <c r="M245" s="46" t="s">
        <v>3</v>
      </c>
      <c r="N245" s="46" t="s">
        <v>4</v>
      </c>
      <c r="O245" s="46" t="s">
        <v>5</v>
      </c>
      <c r="P245" s="46" t="s">
        <v>6</v>
      </c>
      <c r="Q245" s="46" t="s">
        <v>7</v>
      </c>
      <c r="R245" s="46" t="s">
        <v>8</v>
      </c>
      <c r="S245" s="203" t="str">
        <f>'6a-Hierarchy'!$F$4</f>
        <v>Alt.2</v>
      </c>
    </row>
    <row r="246" spans="1:19" ht="16.5" customHeight="1">
      <c r="A246" s="202"/>
      <c r="B246" s="46" t="s">
        <v>8</v>
      </c>
      <c r="C246" s="46" t="s">
        <v>7</v>
      </c>
      <c r="D246" s="46" t="s">
        <v>6</v>
      </c>
      <c r="E246" s="46" t="s">
        <v>5</v>
      </c>
      <c r="F246" s="46" t="s">
        <v>4</v>
      </c>
      <c r="G246" s="46" t="s">
        <v>3</v>
      </c>
      <c r="H246" s="46" t="s">
        <v>2</v>
      </c>
      <c r="I246" s="46" t="s">
        <v>1</v>
      </c>
      <c r="J246" s="46" t="s">
        <v>0</v>
      </c>
      <c r="K246" s="46" t="s">
        <v>1</v>
      </c>
      <c r="L246" s="46" t="s">
        <v>2</v>
      </c>
      <c r="M246" s="46" t="s">
        <v>3</v>
      </c>
      <c r="N246" s="46" t="s">
        <v>4</v>
      </c>
      <c r="O246" s="46" t="s">
        <v>5</v>
      </c>
      <c r="P246" s="46" t="s">
        <v>6</v>
      </c>
      <c r="Q246" s="46" t="s">
        <v>7</v>
      </c>
      <c r="R246" s="46" t="s">
        <v>8</v>
      </c>
      <c r="S246" s="203" t="str">
        <f>'6a-Hierarchy'!$G$4</f>
        <v>Alt.3</v>
      </c>
    </row>
    <row r="247" spans="1:19" ht="16.5" customHeight="1" thickBot="1">
      <c r="A247" s="205"/>
      <c r="B247" s="206" t="s">
        <v>8</v>
      </c>
      <c r="C247" s="206" t="s">
        <v>7</v>
      </c>
      <c r="D247" s="206" t="s">
        <v>6</v>
      </c>
      <c r="E247" s="206" t="s">
        <v>5</v>
      </c>
      <c r="F247" s="206" t="s">
        <v>4</v>
      </c>
      <c r="G247" s="206" t="s">
        <v>3</v>
      </c>
      <c r="H247" s="206" t="s">
        <v>2</v>
      </c>
      <c r="I247" s="206" t="s">
        <v>1</v>
      </c>
      <c r="J247" s="206" t="s">
        <v>0</v>
      </c>
      <c r="K247" s="206" t="s">
        <v>1</v>
      </c>
      <c r="L247" s="206" t="s">
        <v>2</v>
      </c>
      <c r="M247" s="206" t="s">
        <v>3</v>
      </c>
      <c r="N247" s="206" t="s">
        <v>4</v>
      </c>
      <c r="O247" s="206" t="s">
        <v>5</v>
      </c>
      <c r="P247" s="206" t="s">
        <v>6</v>
      </c>
      <c r="Q247" s="206" t="s">
        <v>7</v>
      </c>
      <c r="R247" s="206" t="s">
        <v>8</v>
      </c>
      <c r="S247" s="207" t="e">
        <f>'6a-Hierarchy'!#REF!</f>
        <v>#REF!</v>
      </c>
    </row>
    <row r="248" spans="1:19" ht="16.5" customHeight="1">
      <c r="A248" s="201" t="str">
        <f>'6a-Hierarchy'!$E$4</f>
        <v>Alt.1</v>
      </c>
      <c r="B248" s="169" t="s">
        <v>8</v>
      </c>
      <c r="C248" s="169" t="s">
        <v>7</v>
      </c>
      <c r="D248" s="169" t="s">
        <v>6</v>
      </c>
      <c r="E248" s="169" t="s">
        <v>5</v>
      </c>
      <c r="F248" s="169" t="s">
        <v>4</v>
      </c>
      <c r="G248" s="169" t="s">
        <v>3</v>
      </c>
      <c r="H248" s="169" t="s">
        <v>2</v>
      </c>
      <c r="I248" s="169" t="s">
        <v>1</v>
      </c>
      <c r="J248" s="169" t="s">
        <v>0</v>
      </c>
      <c r="K248" s="169" t="s">
        <v>1</v>
      </c>
      <c r="L248" s="169" t="s">
        <v>2</v>
      </c>
      <c r="M248" s="169" t="s">
        <v>3</v>
      </c>
      <c r="N248" s="169" t="s">
        <v>4</v>
      </c>
      <c r="O248" s="169" t="s">
        <v>5</v>
      </c>
      <c r="P248" s="169" t="s">
        <v>6</v>
      </c>
      <c r="Q248" s="169" t="s">
        <v>7</v>
      </c>
      <c r="R248" s="169" t="s">
        <v>8</v>
      </c>
      <c r="S248" s="170" t="str">
        <f>'6a-Hierarchy'!$F$4</f>
        <v>Alt.2</v>
      </c>
    </row>
    <row r="249" spans="1:19" ht="16.5" customHeight="1">
      <c r="A249" s="202"/>
      <c r="B249" s="46" t="s">
        <v>8</v>
      </c>
      <c r="C249" s="46" t="s">
        <v>7</v>
      </c>
      <c r="D249" s="46" t="s">
        <v>6</v>
      </c>
      <c r="E249" s="46" t="s">
        <v>5</v>
      </c>
      <c r="F249" s="46" t="s">
        <v>4</v>
      </c>
      <c r="G249" s="46" t="s">
        <v>3</v>
      </c>
      <c r="H249" s="46" t="s">
        <v>2</v>
      </c>
      <c r="I249" s="46" t="s">
        <v>1</v>
      </c>
      <c r="J249" s="46" t="s">
        <v>0</v>
      </c>
      <c r="K249" s="46" t="s">
        <v>1</v>
      </c>
      <c r="L249" s="46" t="s">
        <v>2</v>
      </c>
      <c r="M249" s="46" t="s">
        <v>3</v>
      </c>
      <c r="N249" s="46" t="s">
        <v>4</v>
      </c>
      <c r="O249" s="46" t="s">
        <v>5</v>
      </c>
      <c r="P249" s="46" t="s">
        <v>6</v>
      </c>
      <c r="Q249" s="46" t="s">
        <v>7</v>
      </c>
      <c r="R249" s="46" t="s">
        <v>8</v>
      </c>
      <c r="S249" s="203" t="str">
        <f>'6a-Hierarchy'!$G$4</f>
        <v>Alt.3</v>
      </c>
    </row>
    <row r="250" spans="1:19" ht="16.5" customHeight="1" thickBot="1">
      <c r="A250" s="205"/>
      <c r="B250" s="206" t="s">
        <v>8</v>
      </c>
      <c r="C250" s="206" t="s">
        <v>7</v>
      </c>
      <c r="D250" s="206" t="s">
        <v>6</v>
      </c>
      <c r="E250" s="206" t="s">
        <v>5</v>
      </c>
      <c r="F250" s="206" t="s">
        <v>4</v>
      </c>
      <c r="G250" s="206" t="s">
        <v>3</v>
      </c>
      <c r="H250" s="206" t="s">
        <v>2</v>
      </c>
      <c r="I250" s="206" t="s">
        <v>1</v>
      </c>
      <c r="J250" s="206" t="s">
        <v>0</v>
      </c>
      <c r="K250" s="206" t="s">
        <v>1</v>
      </c>
      <c r="L250" s="206" t="s">
        <v>2</v>
      </c>
      <c r="M250" s="206" t="s">
        <v>3</v>
      </c>
      <c r="N250" s="206" t="s">
        <v>4</v>
      </c>
      <c r="O250" s="206" t="s">
        <v>5</v>
      </c>
      <c r="P250" s="206" t="s">
        <v>6</v>
      </c>
      <c r="Q250" s="206" t="s">
        <v>7</v>
      </c>
      <c r="R250" s="206" t="s">
        <v>8</v>
      </c>
      <c r="S250" s="207" t="e">
        <f>'6a-Hierarchy'!#REF!</f>
        <v>#REF!</v>
      </c>
    </row>
    <row r="251" spans="1:19" ht="16.5" customHeight="1">
      <c r="A251" s="201" t="str">
        <f>'6a-Hierarchy'!$F$4</f>
        <v>Alt.2</v>
      </c>
      <c r="B251" s="169" t="s">
        <v>8</v>
      </c>
      <c r="C251" s="169" t="s">
        <v>7</v>
      </c>
      <c r="D251" s="169" t="s">
        <v>6</v>
      </c>
      <c r="E251" s="169" t="s">
        <v>5</v>
      </c>
      <c r="F251" s="169" t="s">
        <v>4</v>
      </c>
      <c r="G251" s="169" t="s">
        <v>3</v>
      </c>
      <c r="H251" s="169" t="s">
        <v>2</v>
      </c>
      <c r="I251" s="169" t="s">
        <v>1</v>
      </c>
      <c r="J251" s="169" t="s">
        <v>0</v>
      </c>
      <c r="K251" s="169" t="s">
        <v>1</v>
      </c>
      <c r="L251" s="169" t="s">
        <v>2</v>
      </c>
      <c r="M251" s="169" t="s">
        <v>3</v>
      </c>
      <c r="N251" s="169" t="s">
        <v>4</v>
      </c>
      <c r="O251" s="169" t="s">
        <v>5</v>
      </c>
      <c r="P251" s="169" t="s">
        <v>6</v>
      </c>
      <c r="Q251" s="169" t="s">
        <v>7</v>
      </c>
      <c r="R251" s="169" t="s">
        <v>8</v>
      </c>
      <c r="S251" s="170" t="str">
        <f>'6a-Hierarchy'!$G$4</f>
        <v>Alt.3</v>
      </c>
    </row>
    <row r="252" spans="1:19" ht="16.5" customHeight="1" thickBot="1">
      <c r="A252" s="205"/>
      <c r="B252" s="206" t="s">
        <v>8</v>
      </c>
      <c r="C252" s="206" t="s">
        <v>7</v>
      </c>
      <c r="D252" s="206" t="s">
        <v>6</v>
      </c>
      <c r="E252" s="206" t="s">
        <v>5</v>
      </c>
      <c r="F252" s="206" t="s">
        <v>4</v>
      </c>
      <c r="G252" s="206" t="s">
        <v>3</v>
      </c>
      <c r="H252" s="206" t="s">
        <v>2</v>
      </c>
      <c r="I252" s="206" t="s">
        <v>1</v>
      </c>
      <c r="J252" s="206" t="s">
        <v>0</v>
      </c>
      <c r="K252" s="206" t="s">
        <v>1</v>
      </c>
      <c r="L252" s="206" t="s">
        <v>2</v>
      </c>
      <c r="M252" s="206" t="s">
        <v>3</v>
      </c>
      <c r="N252" s="206" t="s">
        <v>4</v>
      </c>
      <c r="O252" s="206" t="s">
        <v>5</v>
      </c>
      <c r="P252" s="206" t="s">
        <v>6</v>
      </c>
      <c r="Q252" s="206" t="s">
        <v>7</v>
      </c>
      <c r="R252" s="206" t="s">
        <v>8</v>
      </c>
      <c r="S252" s="207" t="e">
        <f>'6a-Hierarchy'!#REF!</f>
        <v>#REF!</v>
      </c>
    </row>
    <row r="253" spans="1:19" ht="16.5" customHeight="1" thickBot="1">
      <c r="A253" s="213" t="str">
        <f>'6a-Hierarchy'!$G$4</f>
        <v>Alt.3</v>
      </c>
      <c r="B253" s="222" t="s">
        <v>8</v>
      </c>
      <c r="C253" s="222" t="s">
        <v>7</v>
      </c>
      <c r="D253" s="222" t="s">
        <v>6</v>
      </c>
      <c r="E253" s="222" t="s">
        <v>5</v>
      </c>
      <c r="F253" s="222" t="s">
        <v>4</v>
      </c>
      <c r="G253" s="222" t="s">
        <v>3</v>
      </c>
      <c r="H253" s="222" t="s">
        <v>2</v>
      </c>
      <c r="I253" s="222" t="s">
        <v>1</v>
      </c>
      <c r="J253" s="222" t="s">
        <v>0</v>
      </c>
      <c r="K253" s="222" t="s">
        <v>1</v>
      </c>
      <c r="L253" s="222" t="s">
        <v>2</v>
      </c>
      <c r="M253" s="222" t="s">
        <v>3</v>
      </c>
      <c r="N253" s="222" t="s">
        <v>4</v>
      </c>
      <c r="O253" s="222" t="s">
        <v>5</v>
      </c>
      <c r="P253" s="222" t="s">
        <v>6</v>
      </c>
      <c r="Q253" s="222" t="s">
        <v>7</v>
      </c>
      <c r="R253" s="222" t="s">
        <v>8</v>
      </c>
      <c r="S253" s="214" t="e">
        <f>'6a-Hierarchy'!#REF!</f>
        <v>#REF!</v>
      </c>
    </row>
    <row r="254" spans="1:19" ht="7.5" customHeight="1" thickBot="1">
      <c r="A254" s="215"/>
      <c r="B254" s="216"/>
      <c r="C254" s="216"/>
      <c r="D254" s="216"/>
      <c r="E254" s="216"/>
      <c r="F254" s="216"/>
      <c r="G254" s="216"/>
      <c r="H254" s="216"/>
      <c r="I254" s="216"/>
      <c r="J254" s="216"/>
      <c r="K254" s="216"/>
      <c r="L254" s="216"/>
      <c r="M254" s="216"/>
      <c r="N254" s="216"/>
      <c r="O254" s="216"/>
      <c r="P254" s="216"/>
      <c r="Q254" s="216"/>
      <c r="R254" s="216"/>
      <c r="S254" s="215"/>
    </row>
    <row r="255" spans="1:19" ht="18.75" customHeight="1" thickBot="1">
      <c r="A255" s="217"/>
      <c r="B255" s="218"/>
      <c r="C255" s="218"/>
      <c r="D255" s="218"/>
      <c r="E255" s="218"/>
      <c r="F255" s="218"/>
      <c r="G255" s="219"/>
      <c r="H255" s="219"/>
      <c r="I255" s="220">
        <f>'1b-Sub-Performance'!A14</f>
        <v>0</v>
      </c>
      <c r="J255" s="219" t="s">
        <v>14</v>
      </c>
      <c r="K255" s="219" t="s">
        <v>16</v>
      </c>
      <c r="L255" s="219"/>
      <c r="M255" s="219"/>
      <c r="N255" s="218"/>
      <c r="O255" s="218"/>
      <c r="P255" s="218"/>
      <c r="Q255" s="218"/>
      <c r="R255" s="218"/>
      <c r="S255" s="221"/>
    </row>
    <row r="256" spans="1:19" ht="33.75" customHeight="1" thickBot="1">
      <c r="A256" s="231" t="s">
        <v>227</v>
      </c>
      <c r="B256" s="232" t="s">
        <v>222</v>
      </c>
      <c r="C256" s="233"/>
      <c r="D256" s="232" t="s">
        <v>223</v>
      </c>
      <c r="E256" s="233"/>
      <c r="F256" s="232" t="s">
        <v>224</v>
      </c>
      <c r="G256" s="233"/>
      <c r="H256" s="232" t="s">
        <v>225</v>
      </c>
      <c r="I256" s="233"/>
      <c r="J256" s="232" t="s">
        <v>226</v>
      </c>
      <c r="K256" s="233"/>
      <c r="L256" s="232" t="s">
        <v>225</v>
      </c>
      <c r="M256" s="233"/>
      <c r="N256" s="232" t="s">
        <v>224</v>
      </c>
      <c r="O256" s="233"/>
      <c r="P256" s="232" t="s">
        <v>223</v>
      </c>
      <c r="Q256" s="233"/>
      <c r="R256" s="232" t="s">
        <v>222</v>
      </c>
      <c r="S256" s="234" t="s">
        <v>227</v>
      </c>
    </row>
    <row r="257" spans="1:19" ht="17.100000000000001" customHeight="1">
      <c r="A257" s="201" t="str">
        <f>'6a-Hierarchy'!$D$4</f>
        <v>Original</v>
      </c>
      <c r="B257" s="169" t="s">
        <v>8</v>
      </c>
      <c r="C257" s="169" t="s">
        <v>7</v>
      </c>
      <c r="D257" s="169" t="s">
        <v>6</v>
      </c>
      <c r="E257" s="169" t="s">
        <v>5</v>
      </c>
      <c r="F257" s="169" t="s">
        <v>4</v>
      </c>
      <c r="G257" s="169" t="s">
        <v>3</v>
      </c>
      <c r="H257" s="169" t="s">
        <v>2</v>
      </c>
      <c r="I257" s="169" t="s">
        <v>1</v>
      </c>
      <c r="J257" s="169" t="s">
        <v>0</v>
      </c>
      <c r="K257" s="169" t="s">
        <v>1</v>
      </c>
      <c r="L257" s="169" t="s">
        <v>2</v>
      </c>
      <c r="M257" s="169" t="s">
        <v>3</v>
      </c>
      <c r="N257" s="169" t="s">
        <v>4</v>
      </c>
      <c r="O257" s="169" t="s">
        <v>5</v>
      </c>
      <c r="P257" s="169" t="s">
        <v>6</v>
      </c>
      <c r="Q257" s="169" t="s">
        <v>7</v>
      </c>
      <c r="R257" s="169" t="s">
        <v>8</v>
      </c>
      <c r="S257" s="170" t="str">
        <f>'6a-Hierarchy'!$E$4</f>
        <v>Alt.1</v>
      </c>
    </row>
    <row r="258" spans="1:19" ht="16.5" customHeight="1">
      <c r="A258" s="202"/>
      <c r="B258" s="46" t="s">
        <v>8</v>
      </c>
      <c r="C258" s="46" t="s">
        <v>7</v>
      </c>
      <c r="D258" s="46" t="s">
        <v>6</v>
      </c>
      <c r="E258" s="46" t="s">
        <v>5</v>
      </c>
      <c r="F258" s="46" t="s">
        <v>4</v>
      </c>
      <c r="G258" s="46" t="s">
        <v>3</v>
      </c>
      <c r="H258" s="46" t="s">
        <v>2</v>
      </c>
      <c r="I258" s="46" t="s">
        <v>1</v>
      </c>
      <c r="J258" s="46" t="s">
        <v>0</v>
      </c>
      <c r="K258" s="46" t="s">
        <v>1</v>
      </c>
      <c r="L258" s="46" t="s">
        <v>2</v>
      </c>
      <c r="M258" s="46" t="s">
        <v>3</v>
      </c>
      <c r="N258" s="46" t="s">
        <v>4</v>
      </c>
      <c r="O258" s="46" t="s">
        <v>5</v>
      </c>
      <c r="P258" s="46" t="s">
        <v>6</v>
      </c>
      <c r="Q258" s="46" t="s">
        <v>7</v>
      </c>
      <c r="R258" s="46" t="s">
        <v>8</v>
      </c>
      <c r="S258" s="203" t="str">
        <f>'6a-Hierarchy'!$F$4</f>
        <v>Alt.2</v>
      </c>
    </row>
    <row r="259" spans="1:19" ht="16.5" customHeight="1">
      <c r="A259" s="202"/>
      <c r="B259" s="46" t="s">
        <v>8</v>
      </c>
      <c r="C259" s="46" t="s">
        <v>7</v>
      </c>
      <c r="D259" s="46" t="s">
        <v>6</v>
      </c>
      <c r="E259" s="46" t="s">
        <v>5</v>
      </c>
      <c r="F259" s="46" t="s">
        <v>4</v>
      </c>
      <c r="G259" s="46" t="s">
        <v>3</v>
      </c>
      <c r="H259" s="46" t="s">
        <v>2</v>
      </c>
      <c r="I259" s="46" t="s">
        <v>1</v>
      </c>
      <c r="J259" s="46" t="s">
        <v>0</v>
      </c>
      <c r="K259" s="46" t="s">
        <v>1</v>
      </c>
      <c r="L259" s="46" t="s">
        <v>2</v>
      </c>
      <c r="M259" s="46" t="s">
        <v>3</v>
      </c>
      <c r="N259" s="46" t="s">
        <v>4</v>
      </c>
      <c r="O259" s="46" t="s">
        <v>5</v>
      </c>
      <c r="P259" s="46" t="s">
        <v>6</v>
      </c>
      <c r="Q259" s="46" t="s">
        <v>7</v>
      </c>
      <c r="R259" s="46" t="s">
        <v>8</v>
      </c>
      <c r="S259" s="203" t="str">
        <f>'6a-Hierarchy'!$G$4</f>
        <v>Alt.3</v>
      </c>
    </row>
    <row r="260" spans="1:19" ht="16.5" customHeight="1" thickBot="1">
      <c r="A260" s="205"/>
      <c r="B260" s="206" t="s">
        <v>8</v>
      </c>
      <c r="C260" s="206" t="s">
        <v>7</v>
      </c>
      <c r="D260" s="206" t="s">
        <v>6</v>
      </c>
      <c r="E260" s="206" t="s">
        <v>5</v>
      </c>
      <c r="F260" s="206" t="s">
        <v>4</v>
      </c>
      <c r="G260" s="206" t="s">
        <v>3</v>
      </c>
      <c r="H260" s="206" t="s">
        <v>2</v>
      </c>
      <c r="I260" s="206" t="s">
        <v>1</v>
      </c>
      <c r="J260" s="206" t="s">
        <v>0</v>
      </c>
      <c r="K260" s="206" t="s">
        <v>1</v>
      </c>
      <c r="L260" s="206" t="s">
        <v>2</v>
      </c>
      <c r="M260" s="206" t="s">
        <v>3</v>
      </c>
      <c r="N260" s="206" t="s">
        <v>4</v>
      </c>
      <c r="O260" s="206" t="s">
        <v>5</v>
      </c>
      <c r="P260" s="206" t="s">
        <v>6</v>
      </c>
      <c r="Q260" s="206" t="s">
        <v>7</v>
      </c>
      <c r="R260" s="206" t="s">
        <v>8</v>
      </c>
      <c r="S260" s="207" t="e">
        <f>'6a-Hierarchy'!#REF!</f>
        <v>#REF!</v>
      </c>
    </row>
    <row r="261" spans="1:19" ht="16.5" customHeight="1">
      <c r="A261" s="201" t="str">
        <f>'6a-Hierarchy'!$E$4</f>
        <v>Alt.1</v>
      </c>
      <c r="B261" s="169" t="s">
        <v>8</v>
      </c>
      <c r="C261" s="169" t="s">
        <v>7</v>
      </c>
      <c r="D261" s="169" t="s">
        <v>6</v>
      </c>
      <c r="E261" s="169" t="s">
        <v>5</v>
      </c>
      <c r="F261" s="169" t="s">
        <v>4</v>
      </c>
      <c r="G261" s="169" t="s">
        <v>3</v>
      </c>
      <c r="H261" s="169" t="s">
        <v>2</v>
      </c>
      <c r="I261" s="169" t="s">
        <v>1</v>
      </c>
      <c r="J261" s="169" t="s">
        <v>0</v>
      </c>
      <c r="K261" s="169" t="s">
        <v>1</v>
      </c>
      <c r="L261" s="169" t="s">
        <v>2</v>
      </c>
      <c r="M261" s="169" t="s">
        <v>3</v>
      </c>
      <c r="N261" s="169" t="s">
        <v>4</v>
      </c>
      <c r="O261" s="169" t="s">
        <v>5</v>
      </c>
      <c r="P261" s="169" t="s">
        <v>6</v>
      </c>
      <c r="Q261" s="169" t="s">
        <v>7</v>
      </c>
      <c r="R261" s="169" t="s">
        <v>8</v>
      </c>
      <c r="S261" s="170" t="str">
        <f>'6a-Hierarchy'!$F$4</f>
        <v>Alt.2</v>
      </c>
    </row>
    <row r="262" spans="1:19" ht="16.5" customHeight="1">
      <c r="A262" s="202"/>
      <c r="B262" s="46" t="s">
        <v>8</v>
      </c>
      <c r="C262" s="46" t="s">
        <v>7</v>
      </c>
      <c r="D262" s="46" t="s">
        <v>6</v>
      </c>
      <c r="E262" s="46" t="s">
        <v>5</v>
      </c>
      <c r="F262" s="46" t="s">
        <v>4</v>
      </c>
      <c r="G262" s="46" t="s">
        <v>3</v>
      </c>
      <c r="H262" s="46" t="s">
        <v>2</v>
      </c>
      <c r="I262" s="46" t="s">
        <v>1</v>
      </c>
      <c r="J262" s="46" t="s">
        <v>0</v>
      </c>
      <c r="K262" s="46" t="s">
        <v>1</v>
      </c>
      <c r="L262" s="46" t="s">
        <v>2</v>
      </c>
      <c r="M262" s="46" t="s">
        <v>3</v>
      </c>
      <c r="N262" s="46" t="s">
        <v>4</v>
      </c>
      <c r="O262" s="46" t="s">
        <v>5</v>
      </c>
      <c r="P262" s="46" t="s">
        <v>6</v>
      </c>
      <c r="Q262" s="46" t="s">
        <v>7</v>
      </c>
      <c r="R262" s="46" t="s">
        <v>8</v>
      </c>
      <c r="S262" s="203" t="str">
        <f>'6a-Hierarchy'!$G$4</f>
        <v>Alt.3</v>
      </c>
    </row>
    <row r="263" spans="1:19" ht="16.5" customHeight="1" thickBot="1">
      <c r="A263" s="205"/>
      <c r="B263" s="206" t="s">
        <v>8</v>
      </c>
      <c r="C263" s="206" t="s">
        <v>7</v>
      </c>
      <c r="D263" s="206" t="s">
        <v>6</v>
      </c>
      <c r="E263" s="206" t="s">
        <v>5</v>
      </c>
      <c r="F263" s="206" t="s">
        <v>4</v>
      </c>
      <c r="G263" s="206" t="s">
        <v>3</v>
      </c>
      <c r="H263" s="206" t="s">
        <v>2</v>
      </c>
      <c r="I263" s="206" t="s">
        <v>1</v>
      </c>
      <c r="J263" s="206" t="s">
        <v>0</v>
      </c>
      <c r="K263" s="206" t="s">
        <v>1</v>
      </c>
      <c r="L263" s="206" t="s">
        <v>2</v>
      </c>
      <c r="M263" s="206" t="s">
        <v>3</v>
      </c>
      <c r="N263" s="206" t="s">
        <v>4</v>
      </c>
      <c r="O263" s="206" t="s">
        <v>5</v>
      </c>
      <c r="P263" s="206" t="s">
        <v>6</v>
      </c>
      <c r="Q263" s="206" t="s">
        <v>7</v>
      </c>
      <c r="R263" s="206" t="s">
        <v>8</v>
      </c>
      <c r="S263" s="207" t="e">
        <f>'6a-Hierarchy'!#REF!</f>
        <v>#REF!</v>
      </c>
    </row>
    <row r="264" spans="1:19" ht="16.5" customHeight="1">
      <c r="A264" s="201" t="str">
        <f>'6a-Hierarchy'!$F$4</f>
        <v>Alt.2</v>
      </c>
      <c r="B264" s="169" t="s">
        <v>8</v>
      </c>
      <c r="C264" s="169" t="s">
        <v>7</v>
      </c>
      <c r="D264" s="169" t="s">
        <v>6</v>
      </c>
      <c r="E264" s="169" t="s">
        <v>5</v>
      </c>
      <c r="F264" s="169" t="s">
        <v>4</v>
      </c>
      <c r="G264" s="169" t="s">
        <v>3</v>
      </c>
      <c r="H264" s="169" t="s">
        <v>2</v>
      </c>
      <c r="I264" s="169" t="s">
        <v>1</v>
      </c>
      <c r="J264" s="169" t="s">
        <v>0</v>
      </c>
      <c r="K264" s="169" t="s">
        <v>1</v>
      </c>
      <c r="L264" s="169" t="s">
        <v>2</v>
      </c>
      <c r="M264" s="169" t="s">
        <v>3</v>
      </c>
      <c r="N264" s="169" t="s">
        <v>4</v>
      </c>
      <c r="O264" s="169" t="s">
        <v>5</v>
      </c>
      <c r="P264" s="169" t="s">
        <v>6</v>
      </c>
      <c r="Q264" s="169" t="s">
        <v>7</v>
      </c>
      <c r="R264" s="169" t="s">
        <v>8</v>
      </c>
      <c r="S264" s="170" t="str">
        <f>'6a-Hierarchy'!$G$4</f>
        <v>Alt.3</v>
      </c>
    </row>
    <row r="265" spans="1:19" ht="16.5" customHeight="1" thickBot="1">
      <c r="A265" s="205"/>
      <c r="B265" s="206" t="s">
        <v>8</v>
      </c>
      <c r="C265" s="206" t="s">
        <v>7</v>
      </c>
      <c r="D265" s="206" t="s">
        <v>6</v>
      </c>
      <c r="E265" s="206" t="s">
        <v>5</v>
      </c>
      <c r="F265" s="206" t="s">
        <v>4</v>
      </c>
      <c r="G265" s="206" t="s">
        <v>3</v>
      </c>
      <c r="H265" s="206" t="s">
        <v>2</v>
      </c>
      <c r="I265" s="206" t="s">
        <v>1</v>
      </c>
      <c r="J265" s="206" t="s">
        <v>0</v>
      </c>
      <c r="K265" s="206" t="s">
        <v>1</v>
      </c>
      <c r="L265" s="206" t="s">
        <v>2</v>
      </c>
      <c r="M265" s="206" t="s">
        <v>3</v>
      </c>
      <c r="N265" s="206" t="s">
        <v>4</v>
      </c>
      <c r="O265" s="206" t="s">
        <v>5</v>
      </c>
      <c r="P265" s="206" t="s">
        <v>6</v>
      </c>
      <c r="Q265" s="206" t="s">
        <v>7</v>
      </c>
      <c r="R265" s="206" t="s">
        <v>8</v>
      </c>
      <c r="S265" s="207" t="e">
        <f>'6a-Hierarchy'!#REF!</f>
        <v>#REF!</v>
      </c>
    </row>
    <row r="266" spans="1:19" ht="16.5" customHeight="1" thickBot="1">
      <c r="A266" s="213" t="str">
        <f>'6a-Hierarchy'!$G$4</f>
        <v>Alt.3</v>
      </c>
      <c r="B266" s="222" t="s">
        <v>8</v>
      </c>
      <c r="C266" s="222" t="s">
        <v>7</v>
      </c>
      <c r="D266" s="222" t="s">
        <v>6</v>
      </c>
      <c r="E266" s="222" t="s">
        <v>5</v>
      </c>
      <c r="F266" s="222" t="s">
        <v>4</v>
      </c>
      <c r="G266" s="222" t="s">
        <v>3</v>
      </c>
      <c r="H266" s="222" t="s">
        <v>2</v>
      </c>
      <c r="I266" s="222" t="s">
        <v>1</v>
      </c>
      <c r="J266" s="222" t="s">
        <v>0</v>
      </c>
      <c r="K266" s="222" t="s">
        <v>1</v>
      </c>
      <c r="L266" s="222" t="s">
        <v>2</v>
      </c>
      <c r="M266" s="222" t="s">
        <v>3</v>
      </c>
      <c r="N266" s="222" t="s">
        <v>4</v>
      </c>
      <c r="O266" s="222" t="s">
        <v>5</v>
      </c>
      <c r="P266" s="222" t="s">
        <v>6</v>
      </c>
      <c r="Q266" s="222" t="s">
        <v>7</v>
      </c>
      <c r="R266" s="222" t="s">
        <v>8</v>
      </c>
      <c r="S266" s="214" t="e">
        <f>'6a-Hierarchy'!#REF!</f>
        <v>#REF!</v>
      </c>
    </row>
    <row r="267" spans="1:19" ht="7.5" customHeight="1" thickBot="1">
      <c r="A267" s="215"/>
      <c r="B267" s="216"/>
      <c r="C267" s="216"/>
      <c r="D267" s="216"/>
      <c r="E267" s="216"/>
      <c r="F267" s="216"/>
      <c r="G267" s="216"/>
      <c r="H267" s="216"/>
      <c r="I267" s="216"/>
      <c r="J267" s="216"/>
      <c r="K267" s="216"/>
      <c r="L267" s="216"/>
      <c r="M267" s="216"/>
      <c r="N267" s="216"/>
      <c r="O267" s="216"/>
      <c r="P267" s="216"/>
      <c r="Q267" s="216"/>
      <c r="R267" s="216"/>
      <c r="S267" s="215"/>
    </row>
    <row r="268" spans="1:19" ht="18.75" customHeight="1" thickBot="1">
      <c r="A268" s="217"/>
      <c r="B268" s="218"/>
      <c r="C268" s="218"/>
      <c r="D268" s="218"/>
      <c r="E268" s="218"/>
      <c r="F268" s="218"/>
      <c r="G268" s="219"/>
      <c r="H268" s="219"/>
      <c r="I268" s="220">
        <f>'1b-Sub-Performance'!A17</f>
        <v>0</v>
      </c>
      <c r="J268" s="219" t="s">
        <v>14</v>
      </c>
      <c r="K268" s="219" t="s">
        <v>16</v>
      </c>
      <c r="L268" s="219"/>
      <c r="M268" s="219"/>
      <c r="N268" s="218"/>
      <c r="O268" s="218"/>
      <c r="P268" s="218"/>
      <c r="Q268" s="218"/>
      <c r="R268" s="218"/>
      <c r="S268" s="221"/>
    </row>
    <row r="269" spans="1:19" ht="33.75" customHeight="1" thickBot="1">
      <c r="A269" s="231" t="s">
        <v>227</v>
      </c>
      <c r="B269" s="232" t="s">
        <v>222</v>
      </c>
      <c r="C269" s="233"/>
      <c r="D269" s="232" t="s">
        <v>223</v>
      </c>
      <c r="E269" s="233"/>
      <c r="F269" s="232" t="s">
        <v>224</v>
      </c>
      <c r="G269" s="233"/>
      <c r="H269" s="232" t="s">
        <v>225</v>
      </c>
      <c r="I269" s="233"/>
      <c r="J269" s="232" t="s">
        <v>226</v>
      </c>
      <c r="K269" s="233"/>
      <c r="L269" s="232" t="s">
        <v>225</v>
      </c>
      <c r="M269" s="233"/>
      <c r="N269" s="232" t="s">
        <v>224</v>
      </c>
      <c r="O269" s="233"/>
      <c r="P269" s="232" t="s">
        <v>223</v>
      </c>
      <c r="Q269" s="233"/>
      <c r="R269" s="232" t="s">
        <v>222</v>
      </c>
      <c r="S269" s="234" t="s">
        <v>227</v>
      </c>
    </row>
    <row r="270" spans="1:19" ht="17.100000000000001" customHeight="1">
      <c r="A270" s="201" t="str">
        <f>'6a-Hierarchy'!$D$4</f>
        <v>Original</v>
      </c>
      <c r="B270" s="169" t="s">
        <v>8</v>
      </c>
      <c r="C270" s="169" t="s">
        <v>7</v>
      </c>
      <c r="D270" s="169" t="s">
        <v>6</v>
      </c>
      <c r="E270" s="169" t="s">
        <v>5</v>
      </c>
      <c r="F270" s="169" t="s">
        <v>4</v>
      </c>
      <c r="G270" s="169" t="s">
        <v>3</v>
      </c>
      <c r="H270" s="169" t="s">
        <v>2</v>
      </c>
      <c r="I270" s="169" t="s">
        <v>1</v>
      </c>
      <c r="J270" s="169" t="s">
        <v>0</v>
      </c>
      <c r="K270" s="169" t="s">
        <v>1</v>
      </c>
      <c r="L270" s="169" t="s">
        <v>2</v>
      </c>
      <c r="M270" s="169" t="s">
        <v>3</v>
      </c>
      <c r="N270" s="169" t="s">
        <v>4</v>
      </c>
      <c r="O270" s="169" t="s">
        <v>5</v>
      </c>
      <c r="P270" s="169" t="s">
        <v>6</v>
      </c>
      <c r="Q270" s="169" t="s">
        <v>7</v>
      </c>
      <c r="R270" s="169" t="s">
        <v>8</v>
      </c>
      <c r="S270" s="170" t="str">
        <f>'6a-Hierarchy'!$E$4</f>
        <v>Alt.1</v>
      </c>
    </row>
    <row r="271" spans="1:19" ht="16.5" customHeight="1">
      <c r="A271" s="202"/>
      <c r="B271" s="46" t="s">
        <v>8</v>
      </c>
      <c r="C271" s="46" t="s">
        <v>7</v>
      </c>
      <c r="D271" s="46" t="s">
        <v>6</v>
      </c>
      <c r="E271" s="46" t="s">
        <v>5</v>
      </c>
      <c r="F271" s="46" t="s">
        <v>4</v>
      </c>
      <c r="G271" s="46" t="s">
        <v>3</v>
      </c>
      <c r="H271" s="46" t="s">
        <v>2</v>
      </c>
      <c r="I271" s="46" t="s">
        <v>1</v>
      </c>
      <c r="J271" s="46" t="s">
        <v>0</v>
      </c>
      <c r="K271" s="46" t="s">
        <v>1</v>
      </c>
      <c r="L271" s="46" t="s">
        <v>2</v>
      </c>
      <c r="M271" s="46" t="s">
        <v>3</v>
      </c>
      <c r="N271" s="46" t="s">
        <v>4</v>
      </c>
      <c r="O271" s="46" t="s">
        <v>5</v>
      </c>
      <c r="P271" s="46" t="s">
        <v>6</v>
      </c>
      <c r="Q271" s="46" t="s">
        <v>7</v>
      </c>
      <c r="R271" s="46" t="s">
        <v>8</v>
      </c>
      <c r="S271" s="203" t="str">
        <f>'6a-Hierarchy'!$F$4</f>
        <v>Alt.2</v>
      </c>
    </row>
    <row r="272" spans="1:19" ht="16.5" customHeight="1">
      <c r="A272" s="202"/>
      <c r="B272" s="46" t="s">
        <v>8</v>
      </c>
      <c r="C272" s="46" t="s">
        <v>7</v>
      </c>
      <c r="D272" s="46" t="s">
        <v>6</v>
      </c>
      <c r="E272" s="46" t="s">
        <v>5</v>
      </c>
      <c r="F272" s="46" t="s">
        <v>4</v>
      </c>
      <c r="G272" s="46" t="s">
        <v>3</v>
      </c>
      <c r="H272" s="46" t="s">
        <v>2</v>
      </c>
      <c r="I272" s="46" t="s">
        <v>1</v>
      </c>
      <c r="J272" s="46" t="s">
        <v>0</v>
      </c>
      <c r="K272" s="46" t="s">
        <v>1</v>
      </c>
      <c r="L272" s="46" t="s">
        <v>2</v>
      </c>
      <c r="M272" s="46" t="s">
        <v>3</v>
      </c>
      <c r="N272" s="46" t="s">
        <v>4</v>
      </c>
      <c r="O272" s="46" t="s">
        <v>5</v>
      </c>
      <c r="P272" s="46" t="s">
        <v>6</v>
      </c>
      <c r="Q272" s="46" t="s">
        <v>7</v>
      </c>
      <c r="R272" s="46" t="s">
        <v>8</v>
      </c>
      <c r="S272" s="203" t="str">
        <f>'6a-Hierarchy'!$G$4</f>
        <v>Alt.3</v>
      </c>
    </row>
    <row r="273" spans="1:19" ht="16.5" customHeight="1" thickBot="1">
      <c r="A273" s="205"/>
      <c r="B273" s="206" t="s">
        <v>8</v>
      </c>
      <c r="C273" s="206" t="s">
        <v>7</v>
      </c>
      <c r="D273" s="206" t="s">
        <v>6</v>
      </c>
      <c r="E273" s="206" t="s">
        <v>5</v>
      </c>
      <c r="F273" s="206" t="s">
        <v>4</v>
      </c>
      <c r="G273" s="206" t="s">
        <v>3</v>
      </c>
      <c r="H273" s="206" t="s">
        <v>2</v>
      </c>
      <c r="I273" s="206" t="s">
        <v>1</v>
      </c>
      <c r="J273" s="206" t="s">
        <v>0</v>
      </c>
      <c r="K273" s="206" t="s">
        <v>1</v>
      </c>
      <c r="L273" s="206" t="s">
        <v>2</v>
      </c>
      <c r="M273" s="206" t="s">
        <v>3</v>
      </c>
      <c r="N273" s="206" t="s">
        <v>4</v>
      </c>
      <c r="O273" s="206" t="s">
        <v>5</v>
      </c>
      <c r="P273" s="206" t="s">
        <v>6</v>
      </c>
      <c r="Q273" s="206" t="s">
        <v>7</v>
      </c>
      <c r="R273" s="206" t="s">
        <v>8</v>
      </c>
      <c r="S273" s="207" t="e">
        <f>'6a-Hierarchy'!#REF!</f>
        <v>#REF!</v>
      </c>
    </row>
    <row r="274" spans="1:19" ht="16.5" customHeight="1">
      <c r="A274" s="201" t="str">
        <f>'6a-Hierarchy'!$E$4</f>
        <v>Alt.1</v>
      </c>
      <c r="B274" s="169" t="s">
        <v>8</v>
      </c>
      <c r="C274" s="169" t="s">
        <v>7</v>
      </c>
      <c r="D274" s="169" t="s">
        <v>6</v>
      </c>
      <c r="E274" s="169" t="s">
        <v>5</v>
      </c>
      <c r="F274" s="169" t="s">
        <v>4</v>
      </c>
      <c r="G274" s="169" t="s">
        <v>3</v>
      </c>
      <c r="H274" s="169" t="s">
        <v>2</v>
      </c>
      <c r="I274" s="169" t="s">
        <v>1</v>
      </c>
      <c r="J274" s="169" t="s">
        <v>0</v>
      </c>
      <c r="K274" s="169" t="s">
        <v>1</v>
      </c>
      <c r="L274" s="169" t="s">
        <v>2</v>
      </c>
      <c r="M274" s="169" t="s">
        <v>3</v>
      </c>
      <c r="N274" s="169" t="s">
        <v>4</v>
      </c>
      <c r="O274" s="169" t="s">
        <v>5</v>
      </c>
      <c r="P274" s="169" t="s">
        <v>6</v>
      </c>
      <c r="Q274" s="169" t="s">
        <v>7</v>
      </c>
      <c r="R274" s="169" t="s">
        <v>8</v>
      </c>
      <c r="S274" s="170" t="str">
        <f>'6a-Hierarchy'!$F$4</f>
        <v>Alt.2</v>
      </c>
    </row>
    <row r="275" spans="1:19" ht="16.5" customHeight="1">
      <c r="A275" s="202"/>
      <c r="B275" s="46" t="s">
        <v>8</v>
      </c>
      <c r="C275" s="46" t="s">
        <v>7</v>
      </c>
      <c r="D275" s="46" t="s">
        <v>6</v>
      </c>
      <c r="E275" s="46" t="s">
        <v>5</v>
      </c>
      <c r="F275" s="46" t="s">
        <v>4</v>
      </c>
      <c r="G275" s="46" t="s">
        <v>3</v>
      </c>
      <c r="H275" s="46" t="s">
        <v>2</v>
      </c>
      <c r="I275" s="46" t="s">
        <v>1</v>
      </c>
      <c r="J275" s="46" t="s">
        <v>0</v>
      </c>
      <c r="K275" s="46" t="s">
        <v>1</v>
      </c>
      <c r="L275" s="46" t="s">
        <v>2</v>
      </c>
      <c r="M275" s="46" t="s">
        <v>3</v>
      </c>
      <c r="N275" s="46" t="s">
        <v>4</v>
      </c>
      <c r="O275" s="46" t="s">
        <v>5</v>
      </c>
      <c r="P275" s="46" t="s">
        <v>6</v>
      </c>
      <c r="Q275" s="46" t="s">
        <v>7</v>
      </c>
      <c r="R275" s="46" t="s">
        <v>8</v>
      </c>
      <c r="S275" s="203" t="str">
        <f>'6a-Hierarchy'!$G$4</f>
        <v>Alt.3</v>
      </c>
    </row>
    <row r="276" spans="1:19" ht="16.5" customHeight="1" thickBot="1">
      <c r="A276" s="205"/>
      <c r="B276" s="206" t="s">
        <v>8</v>
      </c>
      <c r="C276" s="206" t="s">
        <v>7</v>
      </c>
      <c r="D276" s="206" t="s">
        <v>6</v>
      </c>
      <c r="E276" s="206" t="s">
        <v>5</v>
      </c>
      <c r="F276" s="206" t="s">
        <v>4</v>
      </c>
      <c r="G276" s="206" t="s">
        <v>3</v>
      </c>
      <c r="H276" s="206" t="s">
        <v>2</v>
      </c>
      <c r="I276" s="206" t="s">
        <v>1</v>
      </c>
      <c r="J276" s="206" t="s">
        <v>0</v>
      </c>
      <c r="K276" s="206" t="s">
        <v>1</v>
      </c>
      <c r="L276" s="206" t="s">
        <v>2</v>
      </c>
      <c r="M276" s="206" t="s">
        <v>3</v>
      </c>
      <c r="N276" s="206" t="s">
        <v>4</v>
      </c>
      <c r="O276" s="206" t="s">
        <v>5</v>
      </c>
      <c r="P276" s="206" t="s">
        <v>6</v>
      </c>
      <c r="Q276" s="206" t="s">
        <v>7</v>
      </c>
      <c r="R276" s="206" t="s">
        <v>8</v>
      </c>
      <c r="S276" s="207" t="e">
        <f>'6a-Hierarchy'!#REF!</f>
        <v>#REF!</v>
      </c>
    </row>
    <row r="277" spans="1:19" ht="16.5" customHeight="1">
      <c r="A277" s="201" t="str">
        <f>'6a-Hierarchy'!$F$4</f>
        <v>Alt.2</v>
      </c>
      <c r="B277" s="169" t="s">
        <v>8</v>
      </c>
      <c r="C277" s="169" t="s">
        <v>7</v>
      </c>
      <c r="D277" s="169" t="s">
        <v>6</v>
      </c>
      <c r="E277" s="169" t="s">
        <v>5</v>
      </c>
      <c r="F277" s="169" t="s">
        <v>4</v>
      </c>
      <c r="G277" s="169" t="s">
        <v>3</v>
      </c>
      <c r="H277" s="169" t="s">
        <v>2</v>
      </c>
      <c r="I277" s="169" t="s">
        <v>1</v>
      </c>
      <c r="J277" s="169" t="s">
        <v>0</v>
      </c>
      <c r="K277" s="169" t="s">
        <v>1</v>
      </c>
      <c r="L277" s="169" t="s">
        <v>2</v>
      </c>
      <c r="M277" s="169" t="s">
        <v>3</v>
      </c>
      <c r="N277" s="169" t="s">
        <v>4</v>
      </c>
      <c r="O277" s="169" t="s">
        <v>5</v>
      </c>
      <c r="P277" s="169" t="s">
        <v>6</v>
      </c>
      <c r="Q277" s="169" t="s">
        <v>7</v>
      </c>
      <c r="R277" s="169" t="s">
        <v>8</v>
      </c>
      <c r="S277" s="170" t="str">
        <f>'6a-Hierarchy'!$G$4</f>
        <v>Alt.3</v>
      </c>
    </row>
    <row r="278" spans="1:19" ht="16.5" customHeight="1" thickBot="1">
      <c r="A278" s="205"/>
      <c r="B278" s="206" t="s">
        <v>8</v>
      </c>
      <c r="C278" s="206" t="s">
        <v>7</v>
      </c>
      <c r="D278" s="206" t="s">
        <v>6</v>
      </c>
      <c r="E278" s="206" t="s">
        <v>5</v>
      </c>
      <c r="F278" s="206" t="s">
        <v>4</v>
      </c>
      <c r="G278" s="206" t="s">
        <v>3</v>
      </c>
      <c r="H278" s="206" t="s">
        <v>2</v>
      </c>
      <c r="I278" s="206" t="s">
        <v>1</v>
      </c>
      <c r="J278" s="206" t="s">
        <v>0</v>
      </c>
      <c r="K278" s="206" t="s">
        <v>1</v>
      </c>
      <c r="L278" s="206" t="s">
        <v>2</v>
      </c>
      <c r="M278" s="206" t="s">
        <v>3</v>
      </c>
      <c r="N278" s="206" t="s">
        <v>4</v>
      </c>
      <c r="O278" s="206" t="s">
        <v>5</v>
      </c>
      <c r="P278" s="206" t="s">
        <v>6</v>
      </c>
      <c r="Q278" s="206" t="s">
        <v>7</v>
      </c>
      <c r="R278" s="206" t="s">
        <v>8</v>
      </c>
      <c r="S278" s="207" t="e">
        <f>'6a-Hierarchy'!#REF!</f>
        <v>#REF!</v>
      </c>
    </row>
    <row r="279" spans="1:19" ht="16.5" customHeight="1" thickBot="1">
      <c r="A279" s="213" t="str">
        <f>'6a-Hierarchy'!$G$4</f>
        <v>Alt.3</v>
      </c>
      <c r="B279" s="222" t="s">
        <v>8</v>
      </c>
      <c r="C279" s="222" t="s">
        <v>7</v>
      </c>
      <c r="D279" s="222" t="s">
        <v>6</v>
      </c>
      <c r="E279" s="222" t="s">
        <v>5</v>
      </c>
      <c r="F279" s="222" t="s">
        <v>4</v>
      </c>
      <c r="G279" s="222" t="s">
        <v>3</v>
      </c>
      <c r="H279" s="222" t="s">
        <v>2</v>
      </c>
      <c r="I279" s="222" t="s">
        <v>1</v>
      </c>
      <c r="J279" s="222" t="s">
        <v>0</v>
      </c>
      <c r="K279" s="222" t="s">
        <v>1</v>
      </c>
      <c r="L279" s="222" t="s">
        <v>2</v>
      </c>
      <c r="M279" s="222" t="s">
        <v>3</v>
      </c>
      <c r="N279" s="222" t="s">
        <v>4</v>
      </c>
      <c r="O279" s="222" t="s">
        <v>5</v>
      </c>
      <c r="P279" s="222" t="s">
        <v>6</v>
      </c>
      <c r="Q279" s="222" t="s">
        <v>7</v>
      </c>
      <c r="R279" s="222" t="s">
        <v>8</v>
      </c>
      <c r="S279" s="214" t="e">
        <f>'6a-Hierarchy'!#REF!</f>
        <v>#REF!</v>
      </c>
    </row>
    <row r="280" spans="1:19" ht="7.5" customHeight="1" thickBot="1">
      <c r="A280" s="215"/>
      <c r="B280" s="216"/>
      <c r="C280" s="216"/>
      <c r="D280" s="216"/>
      <c r="E280" s="216"/>
      <c r="F280" s="216"/>
      <c r="G280" s="216"/>
      <c r="H280" s="216"/>
      <c r="I280" s="216"/>
      <c r="J280" s="216"/>
      <c r="K280" s="216"/>
      <c r="L280" s="216"/>
      <c r="M280" s="216"/>
      <c r="N280" s="216"/>
      <c r="O280" s="216"/>
      <c r="P280" s="216"/>
      <c r="Q280" s="216"/>
      <c r="R280" s="216"/>
      <c r="S280" s="215"/>
    </row>
    <row r="281" spans="1:19" ht="18.75" customHeight="1" thickBot="1">
      <c r="A281" s="217"/>
      <c r="B281" s="218"/>
      <c r="C281" s="218"/>
      <c r="D281" s="218"/>
      <c r="E281" s="218"/>
      <c r="F281" s="218"/>
      <c r="G281" s="219"/>
      <c r="H281" s="219"/>
      <c r="I281" s="220">
        <f>'1b-Sub-Performance'!A18</f>
        <v>0</v>
      </c>
      <c r="J281" s="219" t="s">
        <v>14</v>
      </c>
      <c r="K281" s="219" t="s">
        <v>16</v>
      </c>
      <c r="L281" s="219"/>
      <c r="M281" s="219"/>
      <c r="N281" s="218"/>
      <c r="O281" s="218"/>
      <c r="P281" s="218"/>
      <c r="Q281" s="218"/>
      <c r="R281" s="218"/>
      <c r="S281" s="221"/>
    </row>
    <row r="282" spans="1:19" ht="33.75" customHeight="1" thickBot="1">
      <c r="A282" s="231" t="s">
        <v>227</v>
      </c>
      <c r="B282" s="232" t="s">
        <v>222</v>
      </c>
      <c r="C282" s="233"/>
      <c r="D282" s="232" t="s">
        <v>223</v>
      </c>
      <c r="E282" s="233"/>
      <c r="F282" s="232" t="s">
        <v>224</v>
      </c>
      <c r="G282" s="233"/>
      <c r="H282" s="232" t="s">
        <v>225</v>
      </c>
      <c r="I282" s="233"/>
      <c r="J282" s="232" t="s">
        <v>226</v>
      </c>
      <c r="K282" s="233"/>
      <c r="L282" s="232" t="s">
        <v>225</v>
      </c>
      <c r="M282" s="233"/>
      <c r="N282" s="232" t="s">
        <v>224</v>
      </c>
      <c r="O282" s="233"/>
      <c r="P282" s="232" t="s">
        <v>223</v>
      </c>
      <c r="Q282" s="233"/>
      <c r="R282" s="232" t="s">
        <v>222</v>
      </c>
      <c r="S282" s="234" t="s">
        <v>227</v>
      </c>
    </row>
    <row r="283" spans="1:19" ht="17.100000000000001" customHeight="1">
      <c r="A283" s="201" t="str">
        <f>'6a-Hierarchy'!$D$4</f>
        <v>Original</v>
      </c>
      <c r="B283" s="169" t="s">
        <v>8</v>
      </c>
      <c r="C283" s="169" t="s">
        <v>7</v>
      </c>
      <c r="D283" s="169" t="s">
        <v>6</v>
      </c>
      <c r="E283" s="169" t="s">
        <v>5</v>
      </c>
      <c r="F283" s="169" t="s">
        <v>4</v>
      </c>
      <c r="G283" s="169" t="s">
        <v>3</v>
      </c>
      <c r="H283" s="169" t="s">
        <v>2</v>
      </c>
      <c r="I283" s="169" t="s">
        <v>1</v>
      </c>
      <c r="J283" s="169" t="s">
        <v>0</v>
      </c>
      <c r="K283" s="169" t="s">
        <v>1</v>
      </c>
      <c r="L283" s="169" t="s">
        <v>2</v>
      </c>
      <c r="M283" s="169" t="s">
        <v>3</v>
      </c>
      <c r="N283" s="169" t="s">
        <v>4</v>
      </c>
      <c r="O283" s="169" t="s">
        <v>5</v>
      </c>
      <c r="P283" s="169" t="s">
        <v>6</v>
      </c>
      <c r="Q283" s="169" t="s">
        <v>7</v>
      </c>
      <c r="R283" s="169" t="s">
        <v>8</v>
      </c>
      <c r="S283" s="170" t="str">
        <f>'6a-Hierarchy'!$E$4</f>
        <v>Alt.1</v>
      </c>
    </row>
    <row r="284" spans="1:19" ht="16.5" customHeight="1">
      <c r="A284" s="202"/>
      <c r="B284" s="46" t="s">
        <v>8</v>
      </c>
      <c r="C284" s="46" t="s">
        <v>7</v>
      </c>
      <c r="D284" s="46" t="s">
        <v>6</v>
      </c>
      <c r="E284" s="46" t="s">
        <v>5</v>
      </c>
      <c r="F284" s="46" t="s">
        <v>4</v>
      </c>
      <c r="G284" s="46" t="s">
        <v>3</v>
      </c>
      <c r="H284" s="46" t="s">
        <v>2</v>
      </c>
      <c r="I284" s="46" t="s">
        <v>1</v>
      </c>
      <c r="J284" s="46" t="s">
        <v>0</v>
      </c>
      <c r="K284" s="46" t="s">
        <v>1</v>
      </c>
      <c r="L284" s="46" t="s">
        <v>2</v>
      </c>
      <c r="M284" s="46" t="s">
        <v>3</v>
      </c>
      <c r="N284" s="46" t="s">
        <v>4</v>
      </c>
      <c r="O284" s="46" t="s">
        <v>5</v>
      </c>
      <c r="P284" s="46" t="s">
        <v>6</v>
      </c>
      <c r="Q284" s="46" t="s">
        <v>7</v>
      </c>
      <c r="R284" s="46" t="s">
        <v>8</v>
      </c>
      <c r="S284" s="203" t="str">
        <f>'6a-Hierarchy'!$F$4</f>
        <v>Alt.2</v>
      </c>
    </row>
    <row r="285" spans="1:19" ht="16.5" customHeight="1">
      <c r="A285" s="202"/>
      <c r="B285" s="46" t="s">
        <v>8</v>
      </c>
      <c r="C285" s="46" t="s">
        <v>7</v>
      </c>
      <c r="D285" s="46" t="s">
        <v>6</v>
      </c>
      <c r="E285" s="46" t="s">
        <v>5</v>
      </c>
      <c r="F285" s="46" t="s">
        <v>4</v>
      </c>
      <c r="G285" s="46" t="s">
        <v>3</v>
      </c>
      <c r="H285" s="46" t="s">
        <v>2</v>
      </c>
      <c r="I285" s="46" t="s">
        <v>1</v>
      </c>
      <c r="J285" s="46" t="s">
        <v>0</v>
      </c>
      <c r="K285" s="46" t="s">
        <v>1</v>
      </c>
      <c r="L285" s="46" t="s">
        <v>2</v>
      </c>
      <c r="M285" s="46" t="s">
        <v>3</v>
      </c>
      <c r="N285" s="46" t="s">
        <v>4</v>
      </c>
      <c r="O285" s="46" t="s">
        <v>5</v>
      </c>
      <c r="P285" s="46" t="s">
        <v>6</v>
      </c>
      <c r="Q285" s="46" t="s">
        <v>7</v>
      </c>
      <c r="R285" s="46" t="s">
        <v>8</v>
      </c>
      <c r="S285" s="203" t="str">
        <f>'6a-Hierarchy'!$G$4</f>
        <v>Alt.3</v>
      </c>
    </row>
    <row r="286" spans="1:19" ht="16.5" customHeight="1" thickBot="1">
      <c r="A286" s="205"/>
      <c r="B286" s="206" t="s">
        <v>8</v>
      </c>
      <c r="C286" s="206" t="s">
        <v>7</v>
      </c>
      <c r="D286" s="206" t="s">
        <v>6</v>
      </c>
      <c r="E286" s="206" t="s">
        <v>5</v>
      </c>
      <c r="F286" s="206" t="s">
        <v>4</v>
      </c>
      <c r="G286" s="206" t="s">
        <v>3</v>
      </c>
      <c r="H286" s="206" t="s">
        <v>2</v>
      </c>
      <c r="I286" s="206" t="s">
        <v>1</v>
      </c>
      <c r="J286" s="206" t="s">
        <v>0</v>
      </c>
      <c r="K286" s="206" t="s">
        <v>1</v>
      </c>
      <c r="L286" s="206" t="s">
        <v>2</v>
      </c>
      <c r="M286" s="206" t="s">
        <v>3</v>
      </c>
      <c r="N286" s="206" t="s">
        <v>4</v>
      </c>
      <c r="O286" s="206" t="s">
        <v>5</v>
      </c>
      <c r="P286" s="206" t="s">
        <v>6</v>
      </c>
      <c r="Q286" s="206" t="s">
        <v>7</v>
      </c>
      <c r="R286" s="206" t="s">
        <v>8</v>
      </c>
      <c r="S286" s="207" t="e">
        <f>'6a-Hierarchy'!#REF!</f>
        <v>#REF!</v>
      </c>
    </row>
    <row r="287" spans="1:19" ht="16.5" customHeight="1">
      <c r="A287" s="201" t="str">
        <f>'6a-Hierarchy'!$E$4</f>
        <v>Alt.1</v>
      </c>
      <c r="B287" s="169" t="s">
        <v>8</v>
      </c>
      <c r="C287" s="169" t="s">
        <v>7</v>
      </c>
      <c r="D287" s="169" t="s">
        <v>6</v>
      </c>
      <c r="E287" s="169" t="s">
        <v>5</v>
      </c>
      <c r="F287" s="169" t="s">
        <v>4</v>
      </c>
      <c r="G287" s="169" t="s">
        <v>3</v>
      </c>
      <c r="H287" s="169" t="s">
        <v>2</v>
      </c>
      <c r="I287" s="169" t="s">
        <v>1</v>
      </c>
      <c r="J287" s="169" t="s">
        <v>0</v>
      </c>
      <c r="K287" s="169" t="s">
        <v>1</v>
      </c>
      <c r="L287" s="169" t="s">
        <v>2</v>
      </c>
      <c r="M287" s="169" t="s">
        <v>3</v>
      </c>
      <c r="N287" s="169" t="s">
        <v>4</v>
      </c>
      <c r="O287" s="169" t="s">
        <v>5</v>
      </c>
      <c r="P287" s="169" t="s">
        <v>6</v>
      </c>
      <c r="Q287" s="169" t="s">
        <v>7</v>
      </c>
      <c r="R287" s="169" t="s">
        <v>8</v>
      </c>
      <c r="S287" s="170" t="str">
        <f>'6a-Hierarchy'!$F$4</f>
        <v>Alt.2</v>
      </c>
    </row>
    <row r="288" spans="1:19" ht="16.5" customHeight="1">
      <c r="A288" s="202"/>
      <c r="B288" s="46" t="s">
        <v>8</v>
      </c>
      <c r="C288" s="46" t="s">
        <v>7</v>
      </c>
      <c r="D288" s="46" t="s">
        <v>6</v>
      </c>
      <c r="E288" s="46" t="s">
        <v>5</v>
      </c>
      <c r="F288" s="46" t="s">
        <v>4</v>
      </c>
      <c r="G288" s="46" t="s">
        <v>3</v>
      </c>
      <c r="H288" s="46" t="s">
        <v>2</v>
      </c>
      <c r="I288" s="46" t="s">
        <v>1</v>
      </c>
      <c r="J288" s="46" t="s">
        <v>0</v>
      </c>
      <c r="K288" s="46" t="s">
        <v>1</v>
      </c>
      <c r="L288" s="46" t="s">
        <v>2</v>
      </c>
      <c r="M288" s="46" t="s">
        <v>3</v>
      </c>
      <c r="N288" s="46" t="s">
        <v>4</v>
      </c>
      <c r="O288" s="46" t="s">
        <v>5</v>
      </c>
      <c r="P288" s="46" t="s">
        <v>6</v>
      </c>
      <c r="Q288" s="46" t="s">
        <v>7</v>
      </c>
      <c r="R288" s="46" t="s">
        <v>8</v>
      </c>
      <c r="S288" s="203" t="str">
        <f>'6a-Hierarchy'!$G$4</f>
        <v>Alt.3</v>
      </c>
    </row>
    <row r="289" spans="1:19" ht="16.5" customHeight="1" thickBot="1">
      <c r="A289" s="205"/>
      <c r="B289" s="206" t="s">
        <v>8</v>
      </c>
      <c r="C289" s="206" t="s">
        <v>7</v>
      </c>
      <c r="D289" s="206" t="s">
        <v>6</v>
      </c>
      <c r="E289" s="206" t="s">
        <v>5</v>
      </c>
      <c r="F289" s="206" t="s">
        <v>4</v>
      </c>
      <c r="G289" s="206" t="s">
        <v>3</v>
      </c>
      <c r="H289" s="206" t="s">
        <v>2</v>
      </c>
      <c r="I289" s="206" t="s">
        <v>1</v>
      </c>
      <c r="J289" s="206" t="s">
        <v>0</v>
      </c>
      <c r="K289" s="206" t="s">
        <v>1</v>
      </c>
      <c r="L289" s="206" t="s">
        <v>2</v>
      </c>
      <c r="M289" s="206" t="s">
        <v>3</v>
      </c>
      <c r="N289" s="206" t="s">
        <v>4</v>
      </c>
      <c r="O289" s="206" t="s">
        <v>5</v>
      </c>
      <c r="P289" s="206" t="s">
        <v>6</v>
      </c>
      <c r="Q289" s="206" t="s">
        <v>7</v>
      </c>
      <c r="R289" s="206" t="s">
        <v>8</v>
      </c>
      <c r="S289" s="207" t="e">
        <f>'6a-Hierarchy'!#REF!</f>
        <v>#REF!</v>
      </c>
    </row>
    <row r="290" spans="1:19" ht="16.5" customHeight="1">
      <c r="A290" s="201" t="str">
        <f>'6a-Hierarchy'!$F$4</f>
        <v>Alt.2</v>
      </c>
      <c r="B290" s="169" t="s">
        <v>8</v>
      </c>
      <c r="C290" s="169" t="s">
        <v>7</v>
      </c>
      <c r="D290" s="169" t="s">
        <v>6</v>
      </c>
      <c r="E290" s="169" t="s">
        <v>5</v>
      </c>
      <c r="F290" s="169" t="s">
        <v>4</v>
      </c>
      <c r="G290" s="169" t="s">
        <v>3</v>
      </c>
      <c r="H290" s="169" t="s">
        <v>2</v>
      </c>
      <c r="I290" s="169" t="s">
        <v>1</v>
      </c>
      <c r="J290" s="169" t="s">
        <v>0</v>
      </c>
      <c r="K290" s="169" t="s">
        <v>1</v>
      </c>
      <c r="L290" s="169" t="s">
        <v>2</v>
      </c>
      <c r="M290" s="169" t="s">
        <v>3</v>
      </c>
      <c r="N290" s="169" t="s">
        <v>4</v>
      </c>
      <c r="O290" s="169" t="s">
        <v>5</v>
      </c>
      <c r="P290" s="169" t="s">
        <v>6</v>
      </c>
      <c r="Q290" s="169" t="s">
        <v>7</v>
      </c>
      <c r="R290" s="169" t="s">
        <v>8</v>
      </c>
      <c r="S290" s="170" t="str">
        <f>'6a-Hierarchy'!$G$4</f>
        <v>Alt.3</v>
      </c>
    </row>
    <row r="291" spans="1:19" ht="16.5" customHeight="1" thickBot="1">
      <c r="A291" s="205"/>
      <c r="B291" s="206" t="s">
        <v>8</v>
      </c>
      <c r="C291" s="206" t="s">
        <v>7</v>
      </c>
      <c r="D291" s="206" t="s">
        <v>6</v>
      </c>
      <c r="E291" s="206" t="s">
        <v>5</v>
      </c>
      <c r="F291" s="206" t="s">
        <v>4</v>
      </c>
      <c r="G291" s="206" t="s">
        <v>3</v>
      </c>
      <c r="H291" s="206" t="s">
        <v>2</v>
      </c>
      <c r="I291" s="206" t="s">
        <v>1</v>
      </c>
      <c r="J291" s="206" t="s">
        <v>0</v>
      </c>
      <c r="K291" s="206" t="s">
        <v>1</v>
      </c>
      <c r="L291" s="206" t="s">
        <v>2</v>
      </c>
      <c r="M291" s="206" t="s">
        <v>3</v>
      </c>
      <c r="N291" s="206" t="s">
        <v>4</v>
      </c>
      <c r="O291" s="206" t="s">
        <v>5</v>
      </c>
      <c r="P291" s="206" t="s">
        <v>6</v>
      </c>
      <c r="Q291" s="206" t="s">
        <v>7</v>
      </c>
      <c r="R291" s="206" t="s">
        <v>8</v>
      </c>
      <c r="S291" s="207" t="e">
        <f>'6a-Hierarchy'!#REF!</f>
        <v>#REF!</v>
      </c>
    </row>
    <row r="292" spans="1:19" ht="16.5" customHeight="1" thickBot="1">
      <c r="A292" s="213" t="str">
        <f>'6a-Hierarchy'!$G$4</f>
        <v>Alt.3</v>
      </c>
      <c r="B292" s="222" t="s">
        <v>8</v>
      </c>
      <c r="C292" s="222" t="s">
        <v>7</v>
      </c>
      <c r="D292" s="222" t="s">
        <v>6</v>
      </c>
      <c r="E292" s="222" t="s">
        <v>5</v>
      </c>
      <c r="F292" s="222" t="s">
        <v>4</v>
      </c>
      <c r="G292" s="222" t="s">
        <v>3</v>
      </c>
      <c r="H292" s="222" t="s">
        <v>2</v>
      </c>
      <c r="I292" s="222" t="s">
        <v>1</v>
      </c>
      <c r="J292" s="222" t="s">
        <v>0</v>
      </c>
      <c r="K292" s="222" t="s">
        <v>1</v>
      </c>
      <c r="L292" s="222" t="s">
        <v>2</v>
      </c>
      <c r="M292" s="222" t="s">
        <v>3</v>
      </c>
      <c r="N292" s="222" t="s">
        <v>4</v>
      </c>
      <c r="O292" s="222" t="s">
        <v>5</v>
      </c>
      <c r="P292" s="222" t="s">
        <v>6</v>
      </c>
      <c r="Q292" s="222" t="s">
        <v>7</v>
      </c>
      <c r="R292" s="222" t="s">
        <v>8</v>
      </c>
      <c r="S292" s="214" t="e">
        <f>'6a-Hierarchy'!#REF!</f>
        <v>#REF!</v>
      </c>
    </row>
    <row r="293" spans="1:19" ht="7.5" customHeight="1" thickBot="1">
      <c r="A293" s="215"/>
      <c r="B293" s="216"/>
      <c r="C293" s="216"/>
      <c r="D293" s="216"/>
      <c r="E293" s="216"/>
      <c r="F293" s="216"/>
      <c r="G293" s="216"/>
      <c r="H293" s="216"/>
      <c r="I293" s="216"/>
      <c r="J293" s="216"/>
      <c r="K293" s="216"/>
      <c r="L293" s="216"/>
      <c r="M293" s="216"/>
      <c r="N293" s="216"/>
      <c r="O293" s="216"/>
      <c r="P293" s="216"/>
      <c r="Q293" s="216"/>
      <c r="R293" s="216"/>
      <c r="S293" s="215"/>
    </row>
    <row r="294" spans="1:19" ht="18.75" customHeight="1" thickBot="1">
      <c r="A294" s="217"/>
      <c r="B294" s="218"/>
      <c r="C294" s="218"/>
      <c r="D294" s="218"/>
      <c r="E294" s="218"/>
      <c r="F294" s="218"/>
      <c r="G294" s="219"/>
      <c r="H294" s="219"/>
      <c r="I294" s="220" t="e">
        <f>'1b-Sub-Performance'!#REF!</f>
        <v>#REF!</v>
      </c>
      <c r="J294" s="219" t="s">
        <v>14</v>
      </c>
      <c r="K294" s="219" t="s">
        <v>16</v>
      </c>
      <c r="L294" s="219"/>
      <c r="M294" s="219"/>
      <c r="N294" s="218"/>
      <c r="O294" s="218"/>
      <c r="P294" s="218"/>
      <c r="Q294" s="218"/>
      <c r="R294" s="218"/>
      <c r="S294" s="221"/>
    </row>
    <row r="295" spans="1:19" ht="33.75" customHeight="1" thickBot="1">
      <c r="A295" s="231" t="s">
        <v>227</v>
      </c>
      <c r="B295" s="232" t="s">
        <v>222</v>
      </c>
      <c r="C295" s="233"/>
      <c r="D295" s="232" t="s">
        <v>223</v>
      </c>
      <c r="E295" s="233"/>
      <c r="F295" s="232" t="s">
        <v>224</v>
      </c>
      <c r="G295" s="233"/>
      <c r="H295" s="232" t="s">
        <v>225</v>
      </c>
      <c r="I295" s="233"/>
      <c r="J295" s="232" t="s">
        <v>226</v>
      </c>
      <c r="K295" s="233"/>
      <c r="L295" s="232" t="s">
        <v>225</v>
      </c>
      <c r="M295" s="233"/>
      <c r="N295" s="232" t="s">
        <v>224</v>
      </c>
      <c r="O295" s="233"/>
      <c r="P295" s="232" t="s">
        <v>223</v>
      </c>
      <c r="Q295" s="233"/>
      <c r="R295" s="232" t="s">
        <v>222</v>
      </c>
      <c r="S295" s="234" t="s">
        <v>227</v>
      </c>
    </row>
    <row r="296" spans="1:19" ht="17.100000000000001" customHeight="1">
      <c r="A296" s="201" t="str">
        <f>'6a-Hierarchy'!$D$4</f>
        <v>Original</v>
      </c>
      <c r="B296" s="169" t="s">
        <v>8</v>
      </c>
      <c r="C296" s="169" t="s">
        <v>7</v>
      </c>
      <c r="D296" s="169" t="s">
        <v>6</v>
      </c>
      <c r="E296" s="169" t="s">
        <v>5</v>
      </c>
      <c r="F296" s="169" t="s">
        <v>4</v>
      </c>
      <c r="G296" s="169" t="s">
        <v>3</v>
      </c>
      <c r="H296" s="169" t="s">
        <v>2</v>
      </c>
      <c r="I296" s="169" t="s">
        <v>1</v>
      </c>
      <c r="J296" s="169" t="s">
        <v>0</v>
      </c>
      <c r="K296" s="169" t="s">
        <v>1</v>
      </c>
      <c r="L296" s="169" t="s">
        <v>2</v>
      </c>
      <c r="M296" s="169" t="s">
        <v>3</v>
      </c>
      <c r="N296" s="169" t="s">
        <v>4</v>
      </c>
      <c r="O296" s="169" t="s">
        <v>5</v>
      </c>
      <c r="P296" s="169" t="s">
        <v>6</v>
      </c>
      <c r="Q296" s="169" t="s">
        <v>7</v>
      </c>
      <c r="R296" s="169" t="s">
        <v>8</v>
      </c>
      <c r="S296" s="170" t="str">
        <f>'6a-Hierarchy'!$E$4</f>
        <v>Alt.1</v>
      </c>
    </row>
    <row r="297" spans="1:19" ht="16.5" customHeight="1">
      <c r="A297" s="202"/>
      <c r="B297" s="46" t="s">
        <v>8</v>
      </c>
      <c r="C297" s="46" t="s">
        <v>7</v>
      </c>
      <c r="D297" s="46" t="s">
        <v>6</v>
      </c>
      <c r="E297" s="46" t="s">
        <v>5</v>
      </c>
      <c r="F297" s="46" t="s">
        <v>4</v>
      </c>
      <c r="G297" s="46" t="s">
        <v>3</v>
      </c>
      <c r="H297" s="46" t="s">
        <v>2</v>
      </c>
      <c r="I297" s="46" t="s">
        <v>1</v>
      </c>
      <c r="J297" s="46" t="s">
        <v>0</v>
      </c>
      <c r="K297" s="46" t="s">
        <v>1</v>
      </c>
      <c r="L297" s="46" t="s">
        <v>2</v>
      </c>
      <c r="M297" s="46" t="s">
        <v>3</v>
      </c>
      <c r="N297" s="46" t="s">
        <v>4</v>
      </c>
      <c r="O297" s="46" t="s">
        <v>5</v>
      </c>
      <c r="P297" s="46" t="s">
        <v>6</v>
      </c>
      <c r="Q297" s="46" t="s">
        <v>7</v>
      </c>
      <c r="R297" s="46" t="s">
        <v>8</v>
      </c>
      <c r="S297" s="203" t="str">
        <f>'6a-Hierarchy'!$F$4</f>
        <v>Alt.2</v>
      </c>
    </row>
    <row r="298" spans="1:19" ht="16.5" customHeight="1">
      <c r="A298" s="202"/>
      <c r="B298" s="46" t="s">
        <v>8</v>
      </c>
      <c r="C298" s="46" t="s">
        <v>7</v>
      </c>
      <c r="D298" s="46" t="s">
        <v>6</v>
      </c>
      <c r="E298" s="46" t="s">
        <v>5</v>
      </c>
      <c r="F298" s="46" t="s">
        <v>4</v>
      </c>
      <c r="G298" s="46" t="s">
        <v>3</v>
      </c>
      <c r="H298" s="46" t="s">
        <v>2</v>
      </c>
      <c r="I298" s="46" t="s">
        <v>1</v>
      </c>
      <c r="J298" s="46" t="s">
        <v>0</v>
      </c>
      <c r="K298" s="46" t="s">
        <v>1</v>
      </c>
      <c r="L298" s="46" t="s">
        <v>2</v>
      </c>
      <c r="M298" s="46" t="s">
        <v>3</v>
      </c>
      <c r="N298" s="46" t="s">
        <v>4</v>
      </c>
      <c r="O298" s="46" t="s">
        <v>5</v>
      </c>
      <c r="P298" s="46" t="s">
        <v>6</v>
      </c>
      <c r="Q298" s="46" t="s">
        <v>7</v>
      </c>
      <c r="R298" s="46" t="s">
        <v>8</v>
      </c>
      <c r="S298" s="203" t="str">
        <f>'6a-Hierarchy'!$G$4</f>
        <v>Alt.3</v>
      </c>
    </row>
    <row r="299" spans="1:19" ht="16.5" customHeight="1" thickBot="1">
      <c r="A299" s="205"/>
      <c r="B299" s="206" t="s">
        <v>8</v>
      </c>
      <c r="C299" s="206" t="s">
        <v>7</v>
      </c>
      <c r="D299" s="206" t="s">
        <v>6</v>
      </c>
      <c r="E299" s="206" t="s">
        <v>5</v>
      </c>
      <c r="F299" s="206" t="s">
        <v>4</v>
      </c>
      <c r="G299" s="206" t="s">
        <v>3</v>
      </c>
      <c r="H299" s="206" t="s">
        <v>2</v>
      </c>
      <c r="I299" s="206" t="s">
        <v>1</v>
      </c>
      <c r="J299" s="206" t="s">
        <v>0</v>
      </c>
      <c r="K299" s="206" t="s">
        <v>1</v>
      </c>
      <c r="L299" s="206" t="s">
        <v>2</v>
      </c>
      <c r="M299" s="206" t="s">
        <v>3</v>
      </c>
      <c r="N299" s="206" t="s">
        <v>4</v>
      </c>
      <c r="O299" s="206" t="s">
        <v>5</v>
      </c>
      <c r="P299" s="206" t="s">
        <v>6</v>
      </c>
      <c r="Q299" s="206" t="s">
        <v>7</v>
      </c>
      <c r="R299" s="206" t="s">
        <v>8</v>
      </c>
      <c r="S299" s="207" t="e">
        <f>'6a-Hierarchy'!#REF!</f>
        <v>#REF!</v>
      </c>
    </row>
    <row r="300" spans="1:19" ht="16.5" customHeight="1">
      <c r="A300" s="201" t="str">
        <f>'6a-Hierarchy'!$E$4</f>
        <v>Alt.1</v>
      </c>
      <c r="B300" s="169" t="s">
        <v>8</v>
      </c>
      <c r="C300" s="169" t="s">
        <v>7</v>
      </c>
      <c r="D300" s="169" t="s">
        <v>6</v>
      </c>
      <c r="E300" s="169" t="s">
        <v>5</v>
      </c>
      <c r="F300" s="169" t="s">
        <v>4</v>
      </c>
      <c r="G300" s="169" t="s">
        <v>3</v>
      </c>
      <c r="H300" s="169" t="s">
        <v>2</v>
      </c>
      <c r="I300" s="169" t="s">
        <v>1</v>
      </c>
      <c r="J300" s="169" t="s">
        <v>0</v>
      </c>
      <c r="K300" s="169" t="s">
        <v>1</v>
      </c>
      <c r="L300" s="169" t="s">
        <v>2</v>
      </c>
      <c r="M300" s="169" t="s">
        <v>3</v>
      </c>
      <c r="N300" s="169" t="s">
        <v>4</v>
      </c>
      <c r="O300" s="169" t="s">
        <v>5</v>
      </c>
      <c r="P300" s="169" t="s">
        <v>6</v>
      </c>
      <c r="Q300" s="169" t="s">
        <v>7</v>
      </c>
      <c r="R300" s="169" t="s">
        <v>8</v>
      </c>
      <c r="S300" s="170" t="str">
        <f>'6a-Hierarchy'!$F$4</f>
        <v>Alt.2</v>
      </c>
    </row>
    <row r="301" spans="1:19" ht="16.5" customHeight="1">
      <c r="A301" s="202"/>
      <c r="B301" s="46" t="s">
        <v>8</v>
      </c>
      <c r="C301" s="46" t="s">
        <v>7</v>
      </c>
      <c r="D301" s="46" t="s">
        <v>6</v>
      </c>
      <c r="E301" s="46" t="s">
        <v>5</v>
      </c>
      <c r="F301" s="46" t="s">
        <v>4</v>
      </c>
      <c r="G301" s="46" t="s">
        <v>3</v>
      </c>
      <c r="H301" s="46" t="s">
        <v>2</v>
      </c>
      <c r="I301" s="46" t="s">
        <v>1</v>
      </c>
      <c r="J301" s="46" t="s">
        <v>0</v>
      </c>
      <c r="K301" s="46" t="s">
        <v>1</v>
      </c>
      <c r="L301" s="46" t="s">
        <v>2</v>
      </c>
      <c r="M301" s="46" t="s">
        <v>3</v>
      </c>
      <c r="N301" s="46" t="s">
        <v>4</v>
      </c>
      <c r="O301" s="46" t="s">
        <v>5</v>
      </c>
      <c r="P301" s="46" t="s">
        <v>6</v>
      </c>
      <c r="Q301" s="46" t="s">
        <v>7</v>
      </c>
      <c r="R301" s="46" t="s">
        <v>8</v>
      </c>
      <c r="S301" s="203" t="str">
        <f>'6a-Hierarchy'!$G$4</f>
        <v>Alt.3</v>
      </c>
    </row>
    <row r="302" spans="1:19" ht="16.5" customHeight="1" thickBot="1">
      <c r="A302" s="205"/>
      <c r="B302" s="206" t="s">
        <v>8</v>
      </c>
      <c r="C302" s="206" t="s">
        <v>7</v>
      </c>
      <c r="D302" s="206" t="s">
        <v>6</v>
      </c>
      <c r="E302" s="206" t="s">
        <v>5</v>
      </c>
      <c r="F302" s="206" t="s">
        <v>4</v>
      </c>
      <c r="G302" s="206" t="s">
        <v>3</v>
      </c>
      <c r="H302" s="206" t="s">
        <v>2</v>
      </c>
      <c r="I302" s="206" t="s">
        <v>1</v>
      </c>
      <c r="J302" s="206" t="s">
        <v>0</v>
      </c>
      <c r="K302" s="206" t="s">
        <v>1</v>
      </c>
      <c r="L302" s="206" t="s">
        <v>2</v>
      </c>
      <c r="M302" s="206" t="s">
        <v>3</v>
      </c>
      <c r="N302" s="206" t="s">
        <v>4</v>
      </c>
      <c r="O302" s="206" t="s">
        <v>5</v>
      </c>
      <c r="P302" s="206" t="s">
        <v>6</v>
      </c>
      <c r="Q302" s="206" t="s">
        <v>7</v>
      </c>
      <c r="R302" s="206" t="s">
        <v>8</v>
      </c>
      <c r="S302" s="207" t="e">
        <f>'6a-Hierarchy'!#REF!</f>
        <v>#REF!</v>
      </c>
    </row>
    <row r="303" spans="1:19" ht="16.5" customHeight="1">
      <c r="A303" s="201" t="str">
        <f>'6a-Hierarchy'!$F$4</f>
        <v>Alt.2</v>
      </c>
      <c r="B303" s="169" t="s">
        <v>8</v>
      </c>
      <c r="C303" s="169" t="s">
        <v>7</v>
      </c>
      <c r="D303" s="169" t="s">
        <v>6</v>
      </c>
      <c r="E303" s="169" t="s">
        <v>5</v>
      </c>
      <c r="F303" s="169" t="s">
        <v>4</v>
      </c>
      <c r="G303" s="169" t="s">
        <v>3</v>
      </c>
      <c r="H303" s="169" t="s">
        <v>2</v>
      </c>
      <c r="I303" s="169" t="s">
        <v>1</v>
      </c>
      <c r="J303" s="169" t="s">
        <v>0</v>
      </c>
      <c r="K303" s="169" t="s">
        <v>1</v>
      </c>
      <c r="L303" s="169" t="s">
        <v>2</v>
      </c>
      <c r="M303" s="169" t="s">
        <v>3</v>
      </c>
      <c r="N303" s="169" t="s">
        <v>4</v>
      </c>
      <c r="O303" s="169" t="s">
        <v>5</v>
      </c>
      <c r="P303" s="169" t="s">
        <v>6</v>
      </c>
      <c r="Q303" s="169" t="s">
        <v>7</v>
      </c>
      <c r="R303" s="169" t="s">
        <v>8</v>
      </c>
      <c r="S303" s="170" t="str">
        <f>'6a-Hierarchy'!$G$4</f>
        <v>Alt.3</v>
      </c>
    </row>
    <row r="304" spans="1:19" ht="16.5" customHeight="1" thickBot="1">
      <c r="A304" s="205"/>
      <c r="B304" s="206" t="s">
        <v>8</v>
      </c>
      <c r="C304" s="206" t="s">
        <v>7</v>
      </c>
      <c r="D304" s="206" t="s">
        <v>6</v>
      </c>
      <c r="E304" s="206" t="s">
        <v>5</v>
      </c>
      <c r="F304" s="206" t="s">
        <v>4</v>
      </c>
      <c r="G304" s="206" t="s">
        <v>3</v>
      </c>
      <c r="H304" s="206" t="s">
        <v>2</v>
      </c>
      <c r="I304" s="206" t="s">
        <v>1</v>
      </c>
      <c r="J304" s="206" t="s">
        <v>0</v>
      </c>
      <c r="K304" s="206" t="s">
        <v>1</v>
      </c>
      <c r="L304" s="206" t="s">
        <v>2</v>
      </c>
      <c r="M304" s="206" t="s">
        <v>3</v>
      </c>
      <c r="N304" s="206" t="s">
        <v>4</v>
      </c>
      <c r="O304" s="206" t="s">
        <v>5</v>
      </c>
      <c r="P304" s="206" t="s">
        <v>6</v>
      </c>
      <c r="Q304" s="206" t="s">
        <v>7</v>
      </c>
      <c r="R304" s="206" t="s">
        <v>8</v>
      </c>
      <c r="S304" s="207" t="e">
        <f>'6a-Hierarchy'!#REF!</f>
        <v>#REF!</v>
      </c>
    </row>
    <row r="305" spans="1:19" ht="16.5" customHeight="1" thickBot="1">
      <c r="A305" s="213" t="str">
        <f>'6a-Hierarchy'!$G$4</f>
        <v>Alt.3</v>
      </c>
      <c r="B305" s="222" t="s">
        <v>8</v>
      </c>
      <c r="C305" s="222" t="s">
        <v>7</v>
      </c>
      <c r="D305" s="222" t="s">
        <v>6</v>
      </c>
      <c r="E305" s="222" t="s">
        <v>5</v>
      </c>
      <c r="F305" s="222" t="s">
        <v>4</v>
      </c>
      <c r="G305" s="222" t="s">
        <v>3</v>
      </c>
      <c r="H305" s="222" t="s">
        <v>2</v>
      </c>
      <c r="I305" s="222" t="s">
        <v>1</v>
      </c>
      <c r="J305" s="222" t="s">
        <v>0</v>
      </c>
      <c r="K305" s="222" t="s">
        <v>1</v>
      </c>
      <c r="L305" s="222" t="s">
        <v>2</v>
      </c>
      <c r="M305" s="222" t="s">
        <v>3</v>
      </c>
      <c r="N305" s="222" t="s">
        <v>4</v>
      </c>
      <c r="O305" s="222" t="s">
        <v>5</v>
      </c>
      <c r="P305" s="222" t="s">
        <v>6</v>
      </c>
      <c r="Q305" s="222" t="s">
        <v>7</v>
      </c>
      <c r="R305" s="222" t="s">
        <v>8</v>
      </c>
      <c r="S305" s="214" t="e">
        <f>'6a-Hierarchy'!#REF!</f>
        <v>#REF!</v>
      </c>
    </row>
    <row r="306" spans="1:19" ht="7.5" customHeight="1" thickBot="1">
      <c r="A306" s="215"/>
      <c r="B306" s="216"/>
      <c r="C306" s="216"/>
      <c r="D306" s="216"/>
      <c r="E306" s="216"/>
      <c r="F306" s="216"/>
      <c r="G306" s="216"/>
      <c r="H306" s="216"/>
      <c r="I306" s="216"/>
      <c r="J306" s="216"/>
      <c r="K306" s="216"/>
      <c r="L306" s="216"/>
      <c r="M306" s="216"/>
      <c r="N306" s="216"/>
      <c r="O306" s="216"/>
      <c r="P306" s="216"/>
      <c r="Q306" s="216"/>
      <c r="R306" s="216"/>
      <c r="S306" s="215"/>
    </row>
    <row r="307" spans="1:19" ht="18.75" customHeight="1" thickBot="1">
      <c r="A307" s="217"/>
      <c r="B307" s="218"/>
      <c r="C307" s="218"/>
      <c r="D307" s="218"/>
      <c r="E307" s="218"/>
      <c r="F307" s="218"/>
      <c r="G307" s="219"/>
      <c r="H307" s="219"/>
      <c r="I307" s="220">
        <f>'1b-Sub-Performance'!A19</f>
        <v>0</v>
      </c>
      <c r="J307" s="219" t="s">
        <v>14</v>
      </c>
      <c r="K307" s="219" t="s">
        <v>16</v>
      </c>
      <c r="L307" s="219"/>
      <c r="M307" s="219"/>
      <c r="N307" s="218"/>
      <c r="O307" s="218"/>
      <c r="P307" s="218"/>
      <c r="Q307" s="218"/>
      <c r="R307" s="218"/>
      <c r="S307" s="221"/>
    </row>
    <row r="308" spans="1:19" ht="33.75" customHeight="1" thickBot="1">
      <c r="A308" s="231" t="s">
        <v>227</v>
      </c>
      <c r="B308" s="232" t="s">
        <v>222</v>
      </c>
      <c r="C308" s="233"/>
      <c r="D308" s="232" t="s">
        <v>223</v>
      </c>
      <c r="E308" s="233"/>
      <c r="F308" s="232" t="s">
        <v>224</v>
      </c>
      <c r="G308" s="233"/>
      <c r="H308" s="232" t="s">
        <v>225</v>
      </c>
      <c r="I308" s="233"/>
      <c r="J308" s="232" t="s">
        <v>226</v>
      </c>
      <c r="K308" s="233"/>
      <c r="L308" s="232" t="s">
        <v>225</v>
      </c>
      <c r="M308" s="233"/>
      <c r="N308" s="232" t="s">
        <v>224</v>
      </c>
      <c r="O308" s="233"/>
      <c r="P308" s="232" t="s">
        <v>223</v>
      </c>
      <c r="Q308" s="233"/>
      <c r="R308" s="232" t="s">
        <v>222</v>
      </c>
      <c r="S308" s="234" t="s">
        <v>227</v>
      </c>
    </row>
    <row r="309" spans="1:19" ht="17.100000000000001" customHeight="1">
      <c r="A309" s="201" t="str">
        <f>'6a-Hierarchy'!$D$4</f>
        <v>Original</v>
      </c>
      <c r="B309" s="169" t="s">
        <v>8</v>
      </c>
      <c r="C309" s="169" t="s">
        <v>7</v>
      </c>
      <c r="D309" s="169" t="s">
        <v>6</v>
      </c>
      <c r="E309" s="169" t="s">
        <v>5</v>
      </c>
      <c r="F309" s="169" t="s">
        <v>4</v>
      </c>
      <c r="G309" s="169" t="s">
        <v>3</v>
      </c>
      <c r="H309" s="169" t="s">
        <v>2</v>
      </c>
      <c r="I309" s="169" t="s">
        <v>1</v>
      </c>
      <c r="J309" s="169" t="s">
        <v>0</v>
      </c>
      <c r="K309" s="169" t="s">
        <v>1</v>
      </c>
      <c r="L309" s="169" t="s">
        <v>2</v>
      </c>
      <c r="M309" s="169" t="s">
        <v>3</v>
      </c>
      <c r="N309" s="169" t="s">
        <v>4</v>
      </c>
      <c r="O309" s="169" t="s">
        <v>5</v>
      </c>
      <c r="P309" s="169" t="s">
        <v>6</v>
      </c>
      <c r="Q309" s="169" t="s">
        <v>7</v>
      </c>
      <c r="R309" s="169" t="s">
        <v>8</v>
      </c>
      <c r="S309" s="170" t="str">
        <f>'6a-Hierarchy'!$E$4</f>
        <v>Alt.1</v>
      </c>
    </row>
    <row r="310" spans="1:19" ht="16.5" customHeight="1">
      <c r="A310" s="202"/>
      <c r="B310" s="46" t="s">
        <v>8</v>
      </c>
      <c r="C310" s="46" t="s">
        <v>7</v>
      </c>
      <c r="D310" s="46" t="s">
        <v>6</v>
      </c>
      <c r="E310" s="46" t="s">
        <v>5</v>
      </c>
      <c r="F310" s="46" t="s">
        <v>4</v>
      </c>
      <c r="G310" s="46" t="s">
        <v>3</v>
      </c>
      <c r="H310" s="46" t="s">
        <v>2</v>
      </c>
      <c r="I310" s="46" t="s">
        <v>1</v>
      </c>
      <c r="J310" s="46" t="s">
        <v>0</v>
      </c>
      <c r="K310" s="46" t="s">
        <v>1</v>
      </c>
      <c r="L310" s="46" t="s">
        <v>2</v>
      </c>
      <c r="M310" s="46" t="s">
        <v>3</v>
      </c>
      <c r="N310" s="46" t="s">
        <v>4</v>
      </c>
      <c r="O310" s="46" t="s">
        <v>5</v>
      </c>
      <c r="P310" s="46" t="s">
        <v>6</v>
      </c>
      <c r="Q310" s="46" t="s">
        <v>7</v>
      </c>
      <c r="R310" s="46" t="s">
        <v>8</v>
      </c>
      <c r="S310" s="203" t="str">
        <f>'6a-Hierarchy'!$F$4</f>
        <v>Alt.2</v>
      </c>
    </row>
    <row r="311" spans="1:19" ht="16.5" customHeight="1">
      <c r="A311" s="202"/>
      <c r="B311" s="46" t="s">
        <v>8</v>
      </c>
      <c r="C311" s="46" t="s">
        <v>7</v>
      </c>
      <c r="D311" s="46" t="s">
        <v>6</v>
      </c>
      <c r="E311" s="46" t="s">
        <v>5</v>
      </c>
      <c r="F311" s="46" t="s">
        <v>4</v>
      </c>
      <c r="G311" s="46" t="s">
        <v>3</v>
      </c>
      <c r="H311" s="46" t="s">
        <v>2</v>
      </c>
      <c r="I311" s="46" t="s">
        <v>1</v>
      </c>
      <c r="J311" s="46" t="s">
        <v>0</v>
      </c>
      <c r="K311" s="46" t="s">
        <v>1</v>
      </c>
      <c r="L311" s="46" t="s">
        <v>2</v>
      </c>
      <c r="M311" s="46" t="s">
        <v>3</v>
      </c>
      <c r="N311" s="46" t="s">
        <v>4</v>
      </c>
      <c r="O311" s="46" t="s">
        <v>5</v>
      </c>
      <c r="P311" s="46" t="s">
        <v>6</v>
      </c>
      <c r="Q311" s="46" t="s">
        <v>7</v>
      </c>
      <c r="R311" s="46" t="s">
        <v>8</v>
      </c>
      <c r="S311" s="203" t="str">
        <f>'6a-Hierarchy'!$G$4</f>
        <v>Alt.3</v>
      </c>
    </row>
    <row r="312" spans="1:19" ht="16.5" customHeight="1" thickBot="1">
      <c r="A312" s="205"/>
      <c r="B312" s="206" t="s">
        <v>8</v>
      </c>
      <c r="C312" s="206" t="s">
        <v>7</v>
      </c>
      <c r="D312" s="206" t="s">
        <v>6</v>
      </c>
      <c r="E312" s="206" t="s">
        <v>5</v>
      </c>
      <c r="F312" s="206" t="s">
        <v>4</v>
      </c>
      <c r="G312" s="206" t="s">
        <v>3</v>
      </c>
      <c r="H312" s="206" t="s">
        <v>2</v>
      </c>
      <c r="I312" s="206" t="s">
        <v>1</v>
      </c>
      <c r="J312" s="206" t="s">
        <v>0</v>
      </c>
      <c r="K312" s="206" t="s">
        <v>1</v>
      </c>
      <c r="L312" s="206" t="s">
        <v>2</v>
      </c>
      <c r="M312" s="206" t="s">
        <v>3</v>
      </c>
      <c r="N312" s="206" t="s">
        <v>4</v>
      </c>
      <c r="O312" s="206" t="s">
        <v>5</v>
      </c>
      <c r="P312" s="206" t="s">
        <v>6</v>
      </c>
      <c r="Q312" s="206" t="s">
        <v>7</v>
      </c>
      <c r="R312" s="206" t="s">
        <v>8</v>
      </c>
      <c r="S312" s="207" t="e">
        <f>'6a-Hierarchy'!#REF!</f>
        <v>#REF!</v>
      </c>
    </row>
    <row r="313" spans="1:19" ht="16.5" customHeight="1">
      <c r="A313" s="201" t="str">
        <f>'6a-Hierarchy'!$E$4</f>
        <v>Alt.1</v>
      </c>
      <c r="B313" s="169" t="s">
        <v>8</v>
      </c>
      <c r="C313" s="169" t="s">
        <v>7</v>
      </c>
      <c r="D313" s="169" t="s">
        <v>6</v>
      </c>
      <c r="E313" s="169" t="s">
        <v>5</v>
      </c>
      <c r="F313" s="169" t="s">
        <v>4</v>
      </c>
      <c r="G313" s="169" t="s">
        <v>3</v>
      </c>
      <c r="H313" s="169" t="s">
        <v>2</v>
      </c>
      <c r="I313" s="169" t="s">
        <v>1</v>
      </c>
      <c r="J313" s="169" t="s">
        <v>0</v>
      </c>
      <c r="K313" s="169" t="s">
        <v>1</v>
      </c>
      <c r="L313" s="169" t="s">
        <v>2</v>
      </c>
      <c r="M313" s="169" t="s">
        <v>3</v>
      </c>
      <c r="N313" s="169" t="s">
        <v>4</v>
      </c>
      <c r="O313" s="169" t="s">
        <v>5</v>
      </c>
      <c r="P313" s="169" t="s">
        <v>6</v>
      </c>
      <c r="Q313" s="169" t="s">
        <v>7</v>
      </c>
      <c r="R313" s="169" t="s">
        <v>8</v>
      </c>
      <c r="S313" s="170" t="str">
        <f>'6a-Hierarchy'!$F$4</f>
        <v>Alt.2</v>
      </c>
    </row>
    <row r="314" spans="1:19" ht="16.5" customHeight="1">
      <c r="A314" s="202"/>
      <c r="B314" s="46" t="s">
        <v>8</v>
      </c>
      <c r="C314" s="46" t="s">
        <v>7</v>
      </c>
      <c r="D314" s="46" t="s">
        <v>6</v>
      </c>
      <c r="E314" s="46" t="s">
        <v>5</v>
      </c>
      <c r="F314" s="46" t="s">
        <v>4</v>
      </c>
      <c r="G314" s="46" t="s">
        <v>3</v>
      </c>
      <c r="H314" s="46" t="s">
        <v>2</v>
      </c>
      <c r="I314" s="46" t="s">
        <v>1</v>
      </c>
      <c r="J314" s="46" t="s">
        <v>0</v>
      </c>
      <c r="K314" s="46" t="s">
        <v>1</v>
      </c>
      <c r="L314" s="46" t="s">
        <v>2</v>
      </c>
      <c r="M314" s="46" t="s">
        <v>3</v>
      </c>
      <c r="N314" s="46" t="s">
        <v>4</v>
      </c>
      <c r="O314" s="46" t="s">
        <v>5</v>
      </c>
      <c r="P314" s="46" t="s">
        <v>6</v>
      </c>
      <c r="Q314" s="46" t="s">
        <v>7</v>
      </c>
      <c r="R314" s="46" t="s">
        <v>8</v>
      </c>
      <c r="S314" s="203" t="str">
        <f>'6a-Hierarchy'!$G$4</f>
        <v>Alt.3</v>
      </c>
    </row>
    <row r="315" spans="1:19" ht="16.5" customHeight="1" thickBot="1">
      <c r="A315" s="205"/>
      <c r="B315" s="206" t="s">
        <v>8</v>
      </c>
      <c r="C315" s="206" t="s">
        <v>7</v>
      </c>
      <c r="D315" s="206" t="s">
        <v>6</v>
      </c>
      <c r="E315" s="206" t="s">
        <v>5</v>
      </c>
      <c r="F315" s="206" t="s">
        <v>4</v>
      </c>
      <c r="G315" s="206" t="s">
        <v>3</v>
      </c>
      <c r="H315" s="206" t="s">
        <v>2</v>
      </c>
      <c r="I315" s="206" t="s">
        <v>1</v>
      </c>
      <c r="J315" s="206" t="s">
        <v>0</v>
      </c>
      <c r="K315" s="206" t="s">
        <v>1</v>
      </c>
      <c r="L315" s="206" t="s">
        <v>2</v>
      </c>
      <c r="M315" s="206" t="s">
        <v>3</v>
      </c>
      <c r="N315" s="206" t="s">
        <v>4</v>
      </c>
      <c r="O315" s="206" t="s">
        <v>5</v>
      </c>
      <c r="P315" s="206" t="s">
        <v>6</v>
      </c>
      <c r="Q315" s="206" t="s">
        <v>7</v>
      </c>
      <c r="R315" s="206" t="s">
        <v>8</v>
      </c>
      <c r="S315" s="207" t="e">
        <f>'6a-Hierarchy'!#REF!</f>
        <v>#REF!</v>
      </c>
    </row>
    <row r="316" spans="1:19" ht="16.5" customHeight="1">
      <c r="A316" s="201" t="str">
        <f>'6a-Hierarchy'!$F$4</f>
        <v>Alt.2</v>
      </c>
      <c r="B316" s="169" t="s">
        <v>8</v>
      </c>
      <c r="C316" s="169" t="s">
        <v>7</v>
      </c>
      <c r="D316" s="169" t="s">
        <v>6</v>
      </c>
      <c r="E316" s="169" t="s">
        <v>5</v>
      </c>
      <c r="F316" s="169" t="s">
        <v>4</v>
      </c>
      <c r="G316" s="169" t="s">
        <v>3</v>
      </c>
      <c r="H316" s="169" t="s">
        <v>2</v>
      </c>
      <c r="I316" s="169" t="s">
        <v>1</v>
      </c>
      <c r="J316" s="169" t="s">
        <v>0</v>
      </c>
      <c r="K316" s="169" t="s">
        <v>1</v>
      </c>
      <c r="L316" s="169" t="s">
        <v>2</v>
      </c>
      <c r="M316" s="169" t="s">
        <v>3</v>
      </c>
      <c r="N316" s="169" t="s">
        <v>4</v>
      </c>
      <c r="O316" s="169" t="s">
        <v>5</v>
      </c>
      <c r="P316" s="169" t="s">
        <v>6</v>
      </c>
      <c r="Q316" s="169" t="s">
        <v>7</v>
      </c>
      <c r="R316" s="169" t="s">
        <v>8</v>
      </c>
      <c r="S316" s="170" t="str">
        <f>'6a-Hierarchy'!$G$4</f>
        <v>Alt.3</v>
      </c>
    </row>
    <row r="317" spans="1:19" ht="16.5" customHeight="1" thickBot="1">
      <c r="A317" s="205"/>
      <c r="B317" s="206" t="s">
        <v>8</v>
      </c>
      <c r="C317" s="206" t="s">
        <v>7</v>
      </c>
      <c r="D317" s="206" t="s">
        <v>6</v>
      </c>
      <c r="E317" s="206" t="s">
        <v>5</v>
      </c>
      <c r="F317" s="206" t="s">
        <v>4</v>
      </c>
      <c r="G317" s="206" t="s">
        <v>3</v>
      </c>
      <c r="H317" s="206" t="s">
        <v>2</v>
      </c>
      <c r="I317" s="206" t="s">
        <v>1</v>
      </c>
      <c r="J317" s="206" t="s">
        <v>0</v>
      </c>
      <c r="K317" s="206" t="s">
        <v>1</v>
      </c>
      <c r="L317" s="206" t="s">
        <v>2</v>
      </c>
      <c r="M317" s="206" t="s">
        <v>3</v>
      </c>
      <c r="N317" s="206" t="s">
        <v>4</v>
      </c>
      <c r="O317" s="206" t="s">
        <v>5</v>
      </c>
      <c r="P317" s="206" t="s">
        <v>6</v>
      </c>
      <c r="Q317" s="206" t="s">
        <v>7</v>
      </c>
      <c r="R317" s="206" t="s">
        <v>8</v>
      </c>
      <c r="S317" s="207" t="e">
        <f>'6a-Hierarchy'!#REF!</f>
        <v>#REF!</v>
      </c>
    </row>
    <row r="318" spans="1:19" ht="16.5" customHeight="1" thickBot="1">
      <c r="A318" s="213" t="str">
        <f>'6a-Hierarchy'!$G$4</f>
        <v>Alt.3</v>
      </c>
      <c r="B318" s="222" t="s">
        <v>8</v>
      </c>
      <c r="C318" s="222" t="s">
        <v>7</v>
      </c>
      <c r="D318" s="222" t="s">
        <v>6</v>
      </c>
      <c r="E318" s="222" t="s">
        <v>5</v>
      </c>
      <c r="F318" s="222" t="s">
        <v>4</v>
      </c>
      <c r="G318" s="222" t="s">
        <v>3</v>
      </c>
      <c r="H318" s="222" t="s">
        <v>2</v>
      </c>
      <c r="I318" s="222" t="s">
        <v>1</v>
      </c>
      <c r="J318" s="222" t="s">
        <v>0</v>
      </c>
      <c r="K318" s="222" t="s">
        <v>1</v>
      </c>
      <c r="L318" s="222" t="s">
        <v>2</v>
      </c>
      <c r="M318" s="222" t="s">
        <v>3</v>
      </c>
      <c r="N318" s="222" t="s">
        <v>4</v>
      </c>
      <c r="O318" s="222" t="s">
        <v>5</v>
      </c>
      <c r="P318" s="222" t="s">
        <v>6</v>
      </c>
      <c r="Q318" s="222" t="s">
        <v>7</v>
      </c>
      <c r="R318" s="222" t="s">
        <v>8</v>
      </c>
      <c r="S318" s="214" t="e">
        <f>'6a-Hierarchy'!#REF!</f>
        <v>#REF!</v>
      </c>
    </row>
    <row r="319" spans="1:19" ht="7.5" customHeight="1" thickBot="1">
      <c r="A319" s="215"/>
      <c r="B319" s="216"/>
      <c r="C319" s="216"/>
      <c r="D319" s="216"/>
      <c r="E319" s="216"/>
      <c r="F319" s="216"/>
      <c r="G319" s="216"/>
      <c r="H319" s="216"/>
      <c r="I319" s="216"/>
      <c r="J319" s="216"/>
      <c r="K319" s="216"/>
      <c r="L319" s="216"/>
      <c r="M319" s="216"/>
      <c r="N319" s="216"/>
      <c r="O319" s="216"/>
      <c r="P319" s="216"/>
      <c r="Q319" s="216"/>
      <c r="R319" s="216"/>
      <c r="S319" s="215"/>
    </row>
    <row r="320" spans="1:19" ht="18.75" customHeight="1" thickBot="1">
      <c r="A320" s="217"/>
      <c r="B320" s="218"/>
      <c r="C320" s="218"/>
      <c r="D320" s="218"/>
      <c r="E320" s="218"/>
      <c r="F320" s="218"/>
      <c r="G320" s="219"/>
      <c r="H320" s="219"/>
      <c r="I320" s="220">
        <f>'1b-Sub-Performance'!A20</f>
        <v>0</v>
      </c>
      <c r="J320" s="219" t="s">
        <v>14</v>
      </c>
      <c r="K320" s="219" t="s">
        <v>16</v>
      </c>
      <c r="L320" s="219"/>
      <c r="M320" s="219"/>
      <c r="N320" s="218"/>
      <c r="O320" s="218"/>
      <c r="P320" s="218"/>
      <c r="Q320" s="218"/>
      <c r="R320" s="218"/>
      <c r="S320" s="221"/>
    </row>
    <row r="321" spans="1:19" ht="33.75" customHeight="1" thickBot="1">
      <c r="A321" s="231" t="s">
        <v>227</v>
      </c>
      <c r="B321" s="232" t="s">
        <v>222</v>
      </c>
      <c r="C321" s="233"/>
      <c r="D321" s="232" t="s">
        <v>223</v>
      </c>
      <c r="E321" s="233"/>
      <c r="F321" s="232" t="s">
        <v>224</v>
      </c>
      <c r="G321" s="233"/>
      <c r="H321" s="232" t="s">
        <v>225</v>
      </c>
      <c r="I321" s="233"/>
      <c r="J321" s="232" t="s">
        <v>226</v>
      </c>
      <c r="K321" s="233"/>
      <c r="L321" s="232" t="s">
        <v>225</v>
      </c>
      <c r="M321" s="233"/>
      <c r="N321" s="232" t="s">
        <v>224</v>
      </c>
      <c r="O321" s="233"/>
      <c r="P321" s="232" t="s">
        <v>223</v>
      </c>
      <c r="Q321" s="233"/>
      <c r="R321" s="232" t="s">
        <v>222</v>
      </c>
      <c r="S321" s="234" t="s">
        <v>227</v>
      </c>
    </row>
    <row r="322" spans="1:19" ht="17.100000000000001" customHeight="1">
      <c r="A322" s="201" t="str">
        <f>'6a-Hierarchy'!$D$4</f>
        <v>Original</v>
      </c>
      <c r="B322" s="169" t="s">
        <v>8</v>
      </c>
      <c r="C322" s="169" t="s">
        <v>7</v>
      </c>
      <c r="D322" s="169" t="s">
        <v>6</v>
      </c>
      <c r="E322" s="169" t="s">
        <v>5</v>
      </c>
      <c r="F322" s="169" t="s">
        <v>4</v>
      </c>
      <c r="G322" s="169" t="s">
        <v>3</v>
      </c>
      <c r="H322" s="169" t="s">
        <v>2</v>
      </c>
      <c r="I322" s="169" t="s">
        <v>1</v>
      </c>
      <c r="J322" s="169" t="s">
        <v>0</v>
      </c>
      <c r="K322" s="169" t="s">
        <v>1</v>
      </c>
      <c r="L322" s="169" t="s">
        <v>2</v>
      </c>
      <c r="M322" s="169" t="s">
        <v>3</v>
      </c>
      <c r="N322" s="169" t="s">
        <v>4</v>
      </c>
      <c r="O322" s="169" t="s">
        <v>5</v>
      </c>
      <c r="P322" s="169" t="s">
        <v>6</v>
      </c>
      <c r="Q322" s="169" t="s">
        <v>7</v>
      </c>
      <c r="R322" s="169" t="s">
        <v>8</v>
      </c>
      <c r="S322" s="170" t="str">
        <f>'6a-Hierarchy'!$E$4</f>
        <v>Alt.1</v>
      </c>
    </row>
    <row r="323" spans="1:19" ht="16.5" customHeight="1">
      <c r="A323" s="202"/>
      <c r="B323" s="46" t="s">
        <v>8</v>
      </c>
      <c r="C323" s="46" t="s">
        <v>7</v>
      </c>
      <c r="D323" s="46" t="s">
        <v>6</v>
      </c>
      <c r="E323" s="46" t="s">
        <v>5</v>
      </c>
      <c r="F323" s="46" t="s">
        <v>4</v>
      </c>
      <c r="G323" s="46" t="s">
        <v>3</v>
      </c>
      <c r="H323" s="46" t="s">
        <v>2</v>
      </c>
      <c r="I323" s="46" t="s">
        <v>1</v>
      </c>
      <c r="J323" s="46" t="s">
        <v>0</v>
      </c>
      <c r="K323" s="46" t="s">
        <v>1</v>
      </c>
      <c r="L323" s="46" t="s">
        <v>2</v>
      </c>
      <c r="M323" s="46" t="s">
        <v>3</v>
      </c>
      <c r="N323" s="46" t="s">
        <v>4</v>
      </c>
      <c r="O323" s="46" t="s">
        <v>5</v>
      </c>
      <c r="P323" s="46" t="s">
        <v>6</v>
      </c>
      <c r="Q323" s="46" t="s">
        <v>7</v>
      </c>
      <c r="R323" s="46" t="s">
        <v>8</v>
      </c>
      <c r="S323" s="203" t="str">
        <f>'6a-Hierarchy'!$F$4</f>
        <v>Alt.2</v>
      </c>
    </row>
    <row r="324" spans="1:19" ht="16.5" customHeight="1">
      <c r="A324" s="202"/>
      <c r="B324" s="46" t="s">
        <v>8</v>
      </c>
      <c r="C324" s="46" t="s">
        <v>7</v>
      </c>
      <c r="D324" s="46" t="s">
        <v>6</v>
      </c>
      <c r="E324" s="46" t="s">
        <v>5</v>
      </c>
      <c r="F324" s="46" t="s">
        <v>4</v>
      </c>
      <c r="G324" s="46" t="s">
        <v>3</v>
      </c>
      <c r="H324" s="46" t="s">
        <v>2</v>
      </c>
      <c r="I324" s="46" t="s">
        <v>1</v>
      </c>
      <c r="J324" s="46" t="s">
        <v>0</v>
      </c>
      <c r="K324" s="46" t="s">
        <v>1</v>
      </c>
      <c r="L324" s="46" t="s">
        <v>2</v>
      </c>
      <c r="M324" s="46" t="s">
        <v>3</v>
      </c>
      <c r="N324" s="46" t="s">
        <v>4</v>
      </c>
      <c r="O324" s="46" t="s">
        <v>5</v>
      </c>
      <c r="P324" s="46" t="s">
        <v>6</v>
      </c>
      <c r="Q324" s="46" t="s">
        <v>7</v>
      </c>
      <c r="R324" s="46" t="s">
        <v>8</v>
      </c>
      <c r="S324" s="203" t="str">
        <f>'6a-Hierarchy'!$G$4</f>
        <v>Alt.3</v>
      </c>
    </row>
    <row r="325" spans="1:19" ht="16.5" customHeight="1" thickBot="1">
      <c r="A325" s="205"/>
      <c r="B325" s="206" t="s">
        <v>8</v>
      </c>
      <c r="C325" s="206" t="s">
        <v>7</v>
      </c>
      <c r="D325" s="206" t="s">
        <v>6</v>
      </c>
      <c r="E325" s="206" t="s">
        <v>5</v>
      </c>
      <c r="F325" s="206" t="s">
        <v>4</v>
      </c>
      <c r="G325" s="206" t="s">
        <v>3</v>
      </c>
      <c r="H325" s="206" t="s">
        <v>2</v>
      </c>
      <c r="I325" s="206" t="s">
        <v>1</v>
      </c>
      <c r="J325" s="206" t="s">
        <v>0</v>
      </c>
      <c r="K325" s="206" t="s">
        <v>1</v>
      </c>
      <c r="L325" s="206" t="s">
        <v>2</v>
      </c>
      <c r="M325" s="206" t="s">
        <v>3</v>
      </c>
      <c r="N325" s="206" t="s">
        <v>4</v>
      </c>
      <c r="O325" s="206" t="s">
        <v>5</v>
      </c>
      <c r="P325" s="206" t="s">
        <v>6</v>
      </c>
      <c r="Q325" s="206" t="s">
        <v>7</v>
      </c>
      <c r="R325" s="206" t="s">
        <v>8</v>
      </c>
      <c r="S325" s="207" t="e">
        <f>'6a-Hierarchy'!#REF!</f>
        <v>#REF!</v>
      </c>
    </row>
    <row r="326" spans="1:19" ht="16.5" customHeight="1">
      <c r="A326" s="201" t="str">
        <f>'6a-Hierarchy'!$E$4</f>
        <v>Alt.1</v>
      </c>
      <c r="B326" s="169" t="s">
        <v>8</v>
      </c>
      <c r="C326" s="169" t="s">
        <v>7</v>
      </c>
      <c r="D326" s="169" t="s">
        <v>6</v>
      </c>
      <c r="E326" s="169" t="s">
        <v>5</v>
      </c>
      <c r="F326" s="169" t="s">
        <v>4</v>
      </c>
      <c r="G326" s="169" t="s">
        <v>3</v>
      </c>
      <c r="H326" s="169" t="s">
        <v>2</v>
      </c>
      <c r="I326" s="169" t="s">
        <v>1</v>
      </c>
      <c r="J326" s="169" t="s">
        <v>0</v>
      </c>
      <c r="K326" s="169" t="s">
        <v>1</v>
      </c>
      <c r="L326" s="169" t="s">
        <v>2</v>
      </c>
      <c r="M326" s="169" t="s">
        <v>3</v>
      </c>
      <c r="N326" s="169" t="s">
        <v>4</v>
      </c>
      <c r="O326" s="169" t="s">
        <v>5</v>
      </c>
      <c r="P326" s="169" t="s">
        <v>6</v>
      </c>
      <c r="Q326" s="169" t="s">
        <v>7</v>
      </c>
      <c r="R326" s="169" t="s">
        <v>8</v>
      </c>
      <c r="S326" s="170" t="str">
        <f>'6a-Hierarchy'!$F$4</f>
        <v>Alt.2</v>
      </c>
    </row>
    <row r="327" spans="1:19" ht="16.5" customHeight="1">
      <c r="A327" s="202"/>
      <c r="B327" s="46" t="s">
        <v>8</v>
      </c>
      <c r="C327" s="46" t="s">
        <v>7</v>
      </c>
      <c r="D327" s="46" t="s">
        <v>6</v>
      </c>
      <c r="E327" s="46" t="s">
        <v>5</v>
      </c>
      <c r="F327" s="46" t="s">
        <v>4</v>
      </c>
      <c r="G327" s="46" t="s">
        <v>3</v>
      </c>
      <c r="H327" s="46" t="s">
        <v>2</v>
      </c>
      <c r="I327" s="46" t="s">
        <v>1</v>
      </c>
      <c r="J327" s="46" t="s">
        <v>0</v>
      </c>
      <c r="K327" s="46" t="s">
        <v>1</v>
      </c>
      <c r="L327" s="46" t="s">
        <v>2</v>
      </c>
      <c r="M327" s="46" t="s">
        <v>3</v>
      </c>
      <c r="N327" s="46" t="s">
        <v>4</v>
      </c>
      <c r="O327" s="46" t="s">
        <v>5</v>
      </c>
      <c r="P327" s="46" t="s">
        <v>6</v>
      </c>
      <c r="Q327" s="46" t="s">
        <v>7</v>
      </c>
      <c r="R327" s="46" t="s">
        <v>8</v>
      </c>
      <c r="S327" s="203" t="str">
        <f>'6a-Hierarchy'!$G$4</f>
        <v>Alt.3</v>
      </c>
    </row>
    <row r="328" spans="1:19" ht="16.5" customHeight="1" thickBot="1">
      <c r="A328" s="205"/>
      <c r="B328" s="206" t="s">
        <v>8</v>
      </c>
      <c r="C328" s="206" t="s">
        <v>7</v>
      </c>
      <c r="D328" s="206" t="s">
        <v>6</v>
      </c>
      <c r="E328" s="206" t="s">
        <v>5</v>
      </c>
      <c r="F328" s="206" t="s">
        <v>4</v>
      </c>
      <c r="G328" s="206" t="s">
        <v>3</v>
      </c>
      <c r="H328" s="206" t="s">
        <v>2</v>
      </c>
      <c r="I328" s="206" t="s">
        <v>1</v>
      </c>
      <c r="J328" s="206" t="s">
        <v>0</v>
      </c>
      <c r="K328" s="206" t="s">
        <v>1</v>
      </c>
      <c r="L328" s="206" t="s">
        <v>2</v>
      </c>
      <c r="M328" s="206" t="s">
        <v>3</v>
      </c>
      <c r="N328" s="206" t="s">
        <v>4</v>
      </c>
      <c r="O328" s="206" t="s">
        <v>5</v>
      </c>
      <c r="P328" s="206" t="s">
        <v>6</v>
      </c>
      <c r="Q328" s="206" t="s">
        <v>7</v>
      </c>
      <c r="R328" s="206" t="s">
        <v>8</v>
      </c>
      <c r="S328" s="207" t="e">
        <f>'6a-Hierarchy'!#REF!</f>
        <v>#REF!</v>
      </c>
    </row>
    <row r="329" spans="1:19" ht="16.5" customHeight="1">
      <c r="A329" s="201" t="str">
        <f>'6a-Hierarchy'!$F$4</f>
        <v>Alt.2</v>
      </c>
      <c r="B329" s="169" t="s">
        <v>8</v>
      </c>
      <c r="C329" s="169" t="s">
        <v>7</v>
      </c>
      <c r="D329" s="169" t="s">
        <v>6</v>
      </c>
      <c r="E329" s="169" t="s">
        <v>5</v>
      </c>
      <c r="F329" s="169" t="s">
        <v>4</v>
      </c>
      <c r="G329" s="169" t="s">
        <v>3</v>
      </c>
      <c r="H329" s="169" t="s">
        <v>2</v>
      </c>
      <c r="I329" s="169" t="s">
        <v>1</v>
      </c>
      <c r="J329" s="169" t="s">
        <v>0</v>
      </c>
      <c r="K329" s="169" t="s">
        <v>1</v>
      </c>
      <c r="L329" s="169" t="s">
        <v>2</v>
      </c>
      <c r="M329" s="169" t="s">
        <v>3</v>
      </c>
      <c r="N329" s="169" t="s">
        <v>4</v>
      </c>
      <c r="O329" s="169" t="s">
        <v>5</v>
      </c>
      <c r="P329" s="169" t="s">
        <v>6</v>
      </c>
      <c r="Q329" s="169" t="s">
        <v>7</v>
      </c>
      <c r="R329" s="169" t="s">
        <v>8</v>
      </c>
      <c r="S329" s="170" t="str">
        <f>'6a-Hierarchy'!$G$4</f>
        <v>Alt.3</v>
      </c>
    </row>
    <row r="330" spans="1:19" ht="16.5" customHeight="1" thickBot="1">
      <c r="A330" s="205"/>
      <c r="B330" s="206" t="s">
        <v>8</v>
      </c>
      <c r="C330" s="206" t="s">
        <v>7</v>
      </c>
      <c r="D330" s="206" t="s">
        <v>6</v>
      </c>
      <c r="E330" s="206" t="s">
        <v>5</v>
      </c>
      <c r="F330" s="206" t="s">
        <v>4</v>
      </c>
      <c r="G330" s="206" t="s">
        <v>3</v>
      </c>
      <c r="H330" s="206" t="s">
        <v>2</v>
      </c>
      <c r="I330" s="206" t="s">
        <v>1</v>
      </c>
      <c r="J330" s="206" t="s">
        <v>0</v>
      </c>
      <c r="K330" s="206" t="s">
        <v>1</v>
      </c>
      <c r="L330" s="206" t="s">
        <v>2</v>
      </c>
      <c r="M330" s="206" t="s">
        <v>3</v>
      </c>
      <c r="N330" s="206" t="s">
        <v>4</v>
      </c>
      <c r="O330" s="206" t="s">
        <v>5</v>
      </c>
      <c r="P330" s="206" t="s">
        <v>6</v>
      </c>
      <c r="Q330" s="206" t="s">
        <v>7</v>
      </c>
      <c r="R330" s="206" t="s">
        <v>8</v>
      </c>
      <c r="S330" s="207" t="e">
        <f>'6a-Hierarchy'!#REF!</f>
        <v>#REF!</v>
      </c>
    </row>
    <row r="331" spans="1:19" ht="16.5" customHeight="1" thickBot="1">
      <c r="A331" s="213" t="str">
        <f>'6a-Hierarchy'!$G$4</f>
        <v>Alt.3</v>
      </c>
      <c r="B331" s="222" t="s">
        <v>8</v>
      </c>
      <c r="C331" s="222" t="s">
        <v>7</v>
      </c>
      <c r="D331" s="222" t="s">
        <v>6</v>
      </c>
      <c r="E331" s="222" t="s">
        <v>5</v>
      </c>
      <c r="F331" s="222" t="s">
        <v>4</v>
      </c>
      <c r="G331" s="222" t="s">
        <v>3</v>
      </c>
      <c r="H331" s="222" t="s">
        <v>2</v>
      </c>
      <c r="I331" s="222" t="s">
        <v>1</v>
      </c>
      <c r="J331" s="222" t="s">
        <v>0</v>
      </c>
      <c r="K331" s="222" t="s">
        <v>1</v>
      </c>
      <c r="L331" s="222" t="s">
        <v>2</v>
      </c>
      <c r="M331" s="222" t="s">
        <v>3</v>
      </c>
      <c r="N331" s="222" t="s">
        <v>4</v>
      </c>
      <c r="O331" s="222" t="s">
        <v>5</v>
      </c>
      <c r="P331" s="222" t="s">
        <v>6</v>
      </c>
      <c r="Q331" s="222" t="s">
        <v>7</v>
      </c>
      <c r="R331" s="222" t="s">
        <v>8</v>
      </c>
      <c r="S331" s="214" t="e">
        <f>'6a-Hierarchy'!#REF!</f>
        <v>#REF!</v>
      </c>
    </row>
    <row r="332" spans="1:19" ht="7.5" customHeight="1" thickBot="1">
      <c r="A332" s="215"/>
      <c r="B332" s="216"/>
      <c r="C332" s="216"/>
      <c r="D332" s="216"/>
      <c r="E332" s="216"/>
      <c r="F332" s="216"/>
      <c r="G332" s="216"/>
      <c r="H332" s="216"/>
      <c r="I332" s="216"/>
      <c r="J332" s="216"/>
      <c r="K332" s="216"/>
      <c r="L332" s="216"/>
      <c r="M332" s="216"/>
      <c r="N332" s="216"/>
      <c r="O332" s="216"/>
      <c r="P332" s="216"/>
      <c r="Q332" s="216"/>
      <c r="R332" s="216"/>
      <c r="S332" s="215"/>
    </row>
    <row r="333" spans="1:19" ht="18.75" customHeight="1" thickBot="1">
      <c r="A333" s="217"/>
      <c r="B333" s="218"/>
      <c r="C333" s="218"/>
      <c r="D333" s="218"/>
      <c r="E333" s="218"/>
      <c r="F333" s="218"/>
      <c r="G333" s="219"/>
      <c r="H333" s="219"/>
      <c r="I333" s="220">
        <f>'1b-Sub-Performance'!A23</f>
        <v>0</v>
      </c>
      <c r="J333" s="219" t="s">
        <v>14</v>
      </c>
      <c r="K333" s="219" t="s">
        <v>16</v>
      </c>
      <c r="L333" s="219"/>
      <c r="M333" s="219"/>
      <c r="N333" s="218"/>
      <c r="O333" s="218"/>
      <c r="P333" s="218"/>
      <c r="Q333" s="218"/>
      <c r="R333" s="218"/>
      <c r="S333" s="221"/>
    </row>
    <row r="334" spans="1:19" ht="33.75" customHeight="1" thickBot="1">
      <c r="A334" s="231" t="s">
        <v>227</v>
      </c>
      <c r="B334" s="232" t="s">
        <v>222</v>
      </c>
      <c r="C334" s="233"/>
      <c r="D334" s="232" t="s">
        <v>223</v>
      </c>
      <c r="E334" s="233"/>
      <c r="F334" s="232" t="s">
        <v>224</v>
      </c>
      <c r="G334" s="233"/>
      <c r="H334" s="232" t="s">
        <v>225</v>
      </c>
      <c r="I334" s="233"/>
      <c r="J334" s="232" t="s">
        <v>226</v>
      </c>
      <c r="K334" s="233"/>
      <c r="L334" s="232" t="s">
        <v>225</v>
      </c>
      <c r="M334" s="233"/>
      <c r="N334" s="232" t="s">
        <v>224</v>
      </c>
      <c r="O334" s="233"/>
      <c r="P334" s="232" t="s">
        <v>223</v>
      </c>
      <c r="Q334" s="233"/>
      <c r="R334" s="232" t="s">
        <v>222</v>
      </c>
      <c r="S334" s="234" t="s">
        <v>227</v>
      </c>
    </row>
    <row r="335" spans="1:19" ht="17.100000000000001" customHeight="1">
      <c r="A335" s="201" t="str">
        <f>'6a-Hierarchy'!$D$4</f>
        <v>Original</v>
      </c>
      <c r="B335" s="169" t="s">
        <v>8</v>
      </c>
      <c r="C335" s="169" t="s">
        <v>7</v>
      </c>
      <c r="D335" s="169" t="s">
        <v>6</v>
      </c>
      <c r="E335" s="169" t="s">
        <v>5</v>
      </c>
      <c r="F335" s="169" t="s">
        <v>4</v>
      </c>
      <c r="G335" s="169" t="s">
        <v>3</v>
      </c>
      <c r="H335" s="169" t="s">
        <v>2</v>
      </c>
      <c r="I335" s="169" t="s">
        <v>1</v>
      </c>
      <c r="J335" s="169" t="s">
        <v>0</v>
      </c>
      <c r="K335" s="169" t="s">
        <v>1</v>
      </c>
      <c r="L335" s="169" t="s">
        <v>2</v>
      </c>
      <c r="M335" s="169" t="s">
        <v>3</v>
      </c>
      <c r="N335" s="169" t="s">
        <v>4</v>
      </c>
      <c r="O335" s="169" t="s">
        <v>5</v>
      </c>
      <c r="P335" s="169" t="s">
        <v>6</v>
      </c>
      <c r="Q335" s="169" t="s">
        <v>7</v>
      </c>
      <c r="R335" s="169" t="s">
        <v>8</v>
      </c>
      <c r="S335" s="170" t="str">
        <f>'6a-Hierarchy'!$E$4</f>
        <v>Alt.1</v>
      </c>
    </row>
    <row r="336" spans="1:19" ht="16.5" customHeight="1">
      <c r="A336" s="202"/>
      <c r="B336" s="46" t="s">
        <v>8</v>
      </c>
      <c r="C336" s="46" t="s">
        <v>7</v>
      </c>
      <c r="D336" s="46" t="s">
        <v>6</v>
      </c>
      <c r="E336" s="46" t="s">
        <v>5</v>
      </c>
      <c r="F336" s="46" t="s">
        <v>4</v>
      </c>
      <c r="G336" s="46" t="s">
        <v>3</v>
      </c>
      <c r="H336" s="46" t="s">
        <v>2</v>
      </c>
      <c r="I336" s="46" t="s">
        <v>1</v>
      </c>
      <c r="J336" s="46" t="s">
        <v>0</v>
      </c>
      <c r="K336" s="46" t="s">
        <v>1</v>
      </c>
      <c r="L336" s="46" t="s">
        <v>2</v>
      </c>
      <c r="M336" s="46" t="s">
        <v>3</v>
      </c>
      <c r="N336" s="46" t="s">
        <v>4</v>
      </c>
      <c r="O336" s="46" t="s">
        <v>5</v>
      </c>
      <c r="P336" s="46" t="s">
        <v>6</v>
      </c>
      <c r="Q336" s="46" t="s">
        <v>7</v>
      </c>
      <c r="R336" s="46" t="s">
        <v>8</v>
      </c>
      <c r="S336" s="203" t="str">
        <f>'6a-Hierarchy'!$F$4</f>
        <v>Alt.2</v>
      </c>
    </row>
    <row r="337" spans="1:19" ht="16.5" customHeight="1">
      <c r="A337" s="202"/>
      <c r="B337" s="46" t="s">
        <v>8</v>
      </c>
      <c r="C337" s="46" t="s">
        <v>7</v>
      </c>
      <c r="D337" s="46" t="s">
        <v>6</v>
      </c>
      <c r="E337" s="46" t="s">
        <v>5</v>
      </c>
      <c r="F337" s="46" t="s">
        <v>4</v>
      </c>
      <c r="G337" s="46" t="s">
        <v>3</v>
      </c>
      <c r="H337" s="46" t="s">
        <v>2</v>
      </c>
      <c r="I337" s="46" t="s">
        <v>1</v>
      </c>
      <c r="J337" s="46" t="s">
        <v>0</v>
      </c>
      <c r="K337" s="46" t="s">
        <v>1</v>
      </c>
      <c r="L337" s="46" t="s">
        <v>2</v>
      </c>
      <c r="M337" s="46" t="s">
        <v>3</v>
      </c>
      <c r="N337" s="46" t="s">
        <v>4</v>
      </c>
      <c r="O337" s="46" t="s">
        <v>5</v>
      </c>
      <c r="P337" s="46" t="s">
        <v>6</v>
      </c>
      <c r="Q337" s="46" t="s">
        <v>7</v>
      </c>
      <c r="R337" s="46" t="s">
        <v>8</v>
      </c>
      <c r="S337" s="203" t="str">
        <f>'6a-Hierarchy'!$G$4</f>
        <v>Alt.3</v>
      </c>
    </row>
    <row r="338" spans="1:19" ht="16.5" customHeight="1" thickBot="1">
      <c r="A338" s="205"/>
      <c r="B338" s="206" t="s">
        <v>8</v>
      </c>
      <c r="C338" s="206" t="s">
        <v>7</v>
      </c>
      <c r="D338" s="206" t="s">
        <v>6</v>
      </c>
      <c r="E338" s="206" t="s">
        <v>5</v>
      </c>
      <c r="F338" s="206" t="s">
        <v>4</v>
      </c>
      <c r="G338" s="206" t="s">
        <v>3</v>
      </c>
      <c r="H338" s="206" t="s">
        <v>2</v>
      </c>
      <c r="I338" s="206" t="s">
        <v>1</v>
      </c>
      <c r="J338" s="206" t="s">
        <v>0</v>
      </c>
      <c r="K338" s="206" t="s">
        <v>1</v>
      </c>
      <c r="L338" s="206" t="s">
        <v>2</v>
      </c>
      <c r="M338" s="206" t="s">
        <v>3</v>
      </c>
      <c r="N338" s="206" t="s">
        <v>4</v>
      </c>
      <c r="O338" s="206" t="s">
        <v>5</v>
      </c>
      <c r="P338" s="206" t="s">
        <v>6</v>
      </c>
      <c r="Q338" s="206" t="s">
        <v>7</v>
      </c>
      <c r="R338" s="206" t="s">
        <v>8</v>
      </c>
      <c r="S338" s="207" t="e">
        <f>'6a-Hierarchy'!#REF!</f>
        <v>#REF!</v>
      </c>
    </row>
    <row r="339" spans="1:19" ht="16.5" customHeight="1">
      <c r="A339" s="201" t="str">
        <f>'6a-Hierarchy'!$E$4</f>
        <v>Alt.1</v>
      </c>
      <c r="B339" s="169" t="s">
        <v>8</v>
      </c>
      <c r="C339" s="169" t="s">
        <v>7</v>
      </c>
      <c r="D339" s="169" t="s">
        <v>6</v>
      </c>
      <c r="E339" s="169" t="s">
        <v>5</v>
      </c>
      <c r="F339" s="169" t="s">
        <v>4</v>
      </c>
      <c r="G339" s="169" t="s">
        <v>3</v>
      </c>
      <c r="H339" s="169" t="s">
        <v>2</v>
      </c>
      <c r="I339" s="169" t="s">
        <v>1</v>
      </c>
      <c r="J339" s="169" t="s">
        <v>0</v>
      </c>
      <c r="K339" s="169" t="s">
        <v>1</v>
      </c>
      <c r="L339" s="169" t="s">
        <v>2</v>
      </c>
      <c r="M339" s="169" t="s">
        <v>3</v>
      </c>
      <c r="N339" s="169" t="s">
        <v>4</v>
      </c>
      <c r="O339" s="169" t="s">
        <v>5</v>
      </c>
      <c r="P339" s="169" t="s">
        <v>6</v>
      </c>
      <c r="Q339" s="169" t="s">
        <v>7</v>
      </c>
      <c r="R339" s="169" t="s">
        <v>8</v>
      </c>
      <c r="S339" s="170" t="str">
        <f>'6a-Hierarchy'!$F$4</f>
        <v>Alt.2</v>
      </c>
    </row>
    <row r="340" spans="1:19" ht="16.5" customHeight="1">
      <c r="A340" s="202"/>
      <c r="B340" s="46" t="s">
        <v>8</v>
      </c>
      <c r="C340" s="46" t="s">
        <v>7</v>
      </c>
      <c r="D340" s="46" t="s">
        <v>6</v>
      </c>
      <c r="E340" s="46" t="s">
        <v>5</v>
      </c>
      <c r="F340" s="46" t="s">
        <v>4</v>
      </c>
      <c r="G340" s="46" t="s">
        <v>3</v>
      </c>
      <c r="H340" s="46" t="s">
        <v>2</v>
      </c>
      <c r="I340" s="46" t="s">
        <v>1</v>
      </c>
      <c r="J340" s="46" t="s">
        <v>0</v>
      </c>
      <c r="K340" s="46" t="s">
        <v>1</v>
      </c>
      <c r="L340" s="46" t="s">
        <v>2</v>
      </c>
      <c r="M340" s="46" t="s">
        <v>3</v>
      </c>
      <c r="N340" s="46" t="s">
        <v>4</v>
      </c>
      <c r="O340" s="46" t="s">
        <v>5</v>
      </c>
      <c r="P340" s="46" t="s">
        <v>6</v>
      </c>
      <c r="Q340" s="46" t="s">
        <v>7</v>
      </c>
      <c r="R340" s="46" t="s">
        <v>8</v>
      </c>
      <c r="S340" s="203" t="str">
        <f>'6a-Hierarchy'!$G$4</f>
        <v>Alt.3</v>
      </c>
    </row>
    <row r="341" spans="1:19" ht="16.5" customHeight="1" thickBot="1">
      <c r="A341" s="205"/>
      <c r="B341" s="206" t="s">
        <v>8</v>
      </c>
      <c r="C341" s="206" t="s">
        <v>7</v>
      </c>
      <c r="D341" s="206" t="s">
        <v>6</v>
      </c>
      <c r="E341" s="206" t="s">
        <v>5</v>
      </c>
      <c r="F341" s="206" t="s">
        <v>4</v>
      </c>
      <c r="G341" s="206" t="s">
        <v>3</v>
      </c>
      <c r="H341" s="206" t="s">
        <v>2</v>
      </c>
      <c r="I341" s="206" t="s">
        <v>1</v>
      </c>
      <c r="J341" s="206" t="s">
        <v>0</v>
      </c>
      <c r="K341" s="206" t="s">
        <v>1</v>
      </c>
      <c r="L341" s="206" t="s">
        <v>2</v>
      </c>
      <c r="M341" s="206" t="s">
        <v>3</v>
      </c>
      <c r="N341" s="206" t="s">
        <v>4</v>
      </c>
      <c r="O341" s="206" t="s">
        <v>5</v>
      </c>
      <c r="P341" s="206" t="s">
        <v>6</v>
      </c>
      <c r="Q341" s="206" t="s">
        <v>7</v>
      </c>
      <c r="R341" s="206" t="s">
        <v>8</v>
      </c>
      <c r="S341" s="207" t="e">
        <f>'6a-Hierarchy'!#REF!</f>
        <v>#REF!</v>
      </c>
    </row>
    <row r="342" spans="1:19" ht="16.5" customHeight="1">
      <c r="A342" s="201" t="str">
        <f>'6a-Hierarchy'!$F$4</f>
        <v>Alt.2</v>
      </c>
      <c r="B342" s="169" t="s">
        <v>8</v>
      </c>
      <c r="C342" s="169" t="s">
        <v>7</v>
      </c>
      <c r="D342" s="169" t="s">
        <v>6</v>
      </c>
      <c r="E342" s="169" t="s">
        <v>5</v>
      </c>
      <c r="F342" s="169" t="s">
        <v>4</v>
      </c>
      <c r="G342" s="169" t="s">
        <v>3</v>
      </c>
      <c r="H342" s="169" t="s">
        <v>2</v>
      </c>
      <c r="I342" s="169" t="s">
        <v>1</v>
      </c>
      <c r="J342" s="169" t="s">
        <v>0</v>
      </c>
      <c r="K342" s="169" t="s">
        <v>1</v>
      </c>
      <c r="L342" s="169" t="s">
        <v>2</v>
      </c>
      <c r="M342" s="169" t="s">
        <v>3</v>
      </c>
      <c r="N342" s="169" t="s">
        <v>4</v>
      </c>
      <c r="O342" s="169" t="s">
        <v>5</v>
      </c>
      <c r="P342" s="169" t="s">
        <v>6</v>
      </c>
      <c r="Q342" s="169" t="s">
        <v>7</v>
      </c>
      <c r="R342" s="169" t="s">
        <v>8</v>
      </c>
      <c r="S342" s="170" t="str">
        <f>'6a-Hierarchy'!$G$4</f>
        <v>Alt.3</v>
      </c>
    </row>
    <row r="343" spans="1:19" ht="16.5" customHeight="1" thickBot="1">
      <c r="A343" s="205"/>
      <c r="B343" s="206" t="s">
        <v>8</v>
      </c>
      <c r="C343" s="206" t="s">
        <v>7</v>
      </c>
      <c r="D343" s="206" t="s">
        <v>6</v>
      </c>
      <c r="E343" s="206" t="s">
        <v>5</v>
      </c>
      <c r="F343" s="206" t="s">
        <v>4</v>
      </c>
      <c r="G343" s="206" t="s">
        <v>3</v>
      </c>
      <c r="H343" s="206" t="s">
        <v>2</v>
      </c>
      <c r="I343" s="206" t="s">
        <v>1</v>
      </c>
      <c r="J343" s="206" t="s">
        <v>0</v>
      </c>
      <c r="K343" s="206" t="s">
        <v>1</v>
      </c>
      <c r="L343" s="206" t="s">
        <v>2</v>
      </c>
      <c r="M343" s="206" t="s">
        <v>3</v>
      </c>
      <c r="N343" s="206" t="s">
        <v>4</v>
      </c>
      <c r="O343" s="206" t="s">
        <v>5</v>
      </c>
      <c r="P343" s="206" t="s">
        <v>6</v>
      </c>
      <c r="Q343" s="206" t="s">
        <v>7</v>
      </c>
      <c r="R343" s="206" t="s">
        <v>8</v>
      </c>
      <c r="S343" s="207" t="e">
        <f>'6a-Hierarchy'!#REF!</f>
        <v>#REF!</v>
      </c>
    </row>
    <row r="344" spans="1:19" ht="16.5" customHeight="1" thickBot="1">
      <c r="A344" s="213" t="str">
        <f>'6a-Hierarchy'!$G$4</f>
        <v>Alt.3</v>
      </c>
      <c r="B344" s="222" t="s">
        <v>8</v>
      </c>
      <c r="C344" s="222" t="s">
        <v>7</v>
      </c>
      <c r="D344" s="222" t="s">
        <v>6</v>
      </c>
      <c r="E344" s="222" t="s">
        <v>5</v>
      </c>
      <c r="F344" s="222" t="s">
        <v>4</v>
      </c>
      <c r="G344" s="222" t="s">
        <v>3</v>
      </c>
      <c r="H344" s="222" t="s">
        <v>2</v>
      </c>
      <c r="I344" s="222" t="s">
        <v>1</v>
      </c>
      <c r="J344" s="222" t="s">
        <v>0</v>
      </c>
      <c r="K344" s="222" t="s">
        <v>1</v>
      </c>
      <c r="L344" s="222" t="s">
        <v>2</v>
      </c>
      <c r="M344" s="222" t="s">
        <v>3</v>
      </c>
      <c r="N344" s="222" t="s">
        <v>4</v>
      </c>
      <c r="O344" s="222" t="s">
        <v>5</v>
      </c>
      <c r="P344" s="222" t="s">
        <v>6</v>
      </c>
      <c r="Q344" s="222" t="s">
        <v>7</v>
      </c>
      <c r="R344" s="222" t="s">
        <v>8</v>
      </c>
      <c r="S344" s="214" t="e">
        <f>'6a-Hierarchy'!#REF!</f>
        <v>#REF!</v>
      </c>
    </row>
    <row r="345" spans="1:19" ht="7.5" customHeight="1" thickBot="1">
      <c r="A345" s="215"/>
      <c r="B345" s="216"/>
      <c r="C345" s="216"/>
      <c r="D345" s="216"/>
      <c r="E345" s="216"/>
      <c r="F345" s="216"/>
      <c r="G345" s="216"/>
      <c r="H345" s="216"/>
      <c r="I345" s="216"/>
      <c r="J345" s="216"/>
      <c r="K345" s="216"/>
      <c r="L345" s="216"/>
      <c r="M345" s="216"/>
      <c r="N345" s="216"/>
      <c r="O345" s="216"/>
      <c r="P345" s="216"/>
      <c r="Q345" s="216"/>
      <c r="R345" s="216"/>
      <c r="S345" s="215"/>
    </row>
    <row r="346" spans="1:19" ht="18.75" customHeight="1" thickBot="1">
      <c r="A346" s="217"/>
      <c r="B346" s="218"/>
      <c r="C346" s="218"/>
      <c r="D346" s="218"/>
      <c r="E346" s="218"/>
      <c r="F346" s="218"/>
      <c r="G346" s="219"/>
      <c r="H346" s="219"/>
      <c r="I346" s="220">
        <f>'1b-Sub-Performance'!A24</f>
        <v>0</v>
      </c>
      <c r="J346" s="219" t="s">
        <v>14</v>
      </c>
      <c r="K346" s="219" t="s">
        <v>16</v>
      </c>
      <c r="L346" s="219"/>
      <c r="M346" s="219"/>
      <c r="N346" s="218"/>
      <c r="O346" s="218"/>
      <c r="P346" s="218"/>
      <c r="Q346" s="218"/>
      <c r="R346" s="218"/>
      <c r="S346" s="221"/>
    </row>
    <row r="347" spans="1:19" ht="33.75" customHeight="1" thickBot="1">
      <c r="A347" s="231" t="s">
        <v>227</v>
      </c>
      <c r="B347" s="232" t="s">
        <v>222</v>
      </c>
      <c r="C347" s="233"/>
      <c r="D347" s="232" t="s">
        <v>223</v>
      </c>
      <c r="E347" s="233"/>
      <c r="F347" s="232" t="s">
        <v>224</v>
      </c>
      <c r="G347" s="233"/>
      <c r="H347" s="232" t="s">
        <v>225</v>
      </c>
      <c r="I347" s="233"/>
      <c r="J347" s="232" t="s">
        <v>226</v>
      </c>
      <c r="K347" s="233"/>
      <c r="L347" s="232" t="s">
        <v>225</v>
      </c>
      <c r="M347" s="233"/>
      <c r="N347" s="232" t="s">
        <v>224</v>
      </c>
      <c r="O347" s="233"/>
      <c r="P347" s="232" t="s">
        <v>223</v>
      </c>
      <c r="Q347" s="233"/>
      <c r="R347" s="232" t="s">
        <v>222</v>
      </c>
      <c r="S347" s="234" t="s">
        <v>227</v>
      </c>
    </row>
    <row r="348" spans="1:19" ht="17.100000000000001" customHeight="1">
      <c r="A348" s="201" t="str">
        <f>'6a-Hierarchy'!$D$4</f>
        <v>Original</v>
      </c>
      <c r="B348" s="169" t="s">
        <v>8</v>
      </c>
      <c r="C348" s="169" t="s">
        <v>7</v>
      </c>
      <c r="D348" s="169" t="s">
        <v>6</v>
      </c>
      <c r="E348" s="169" t="s">
        <v>5</v>
      </c>
      <c r="F348" s="169" t="s">
        <v>4</v>
      </c>
      <c r="G348" s="169" t="s">
        <v>3</v>
      </c>
      <c r="H348" s="169" t="s">
        <v>2</v>
      </c>
      <c r="I348" s="169" t="s">
        <v>1</v>
      </c>
      <c r="J348" s="169" t="s">
        <v>0</v>
      </c>
      <c r="K348" s="169" t="s">
        <v>1</v>
      </c>
      <c r="L348" s="169" t="s">
        <v>2</v>
      </c>
      <c r="M348" s="169" t="s">
        <v>3</v>
      </c>
      <c r="N348" s="169" t="s">
        <v>4</v>
      </c>
      <c r="O348" s="169" t="s">
        <v>5</v>
      </c>
      <c r="P348" s="169" t="s">
        <v>6</v>
      </c>
      <c r="Q348" s="169" t="s">
        <v>7</v>
      </c>
      <c r="R348" s="169" t="s">
        <v>8</v>
      </c>
      <c r="S348" s="170" t="str">
        <f>'6a-Hierarchy'!$E$4</f>
        <v>Alt.1</v>
      </c>
    </row>
    <row r="349" spans="1:19" ht="16.5" customHeight="1">
      <c r="A349" s="202"/>
      <c r="B349" s="46" t="s">
        <v>8</v>
      </c>
      <c r="C349" s="46" t="s">
        <v>7</v>
      </c>
      <c r="D349" s="46" t="s">
        <v>6</v>
      </c>
      <c r="E349" s="46" t="s">
        <v>5</v>
      </c>
      <c r="F349" s="46" t="s">
        <v>4</v>
      </c>
      <c r="G349" s="46" t="s">
        <v>3</v>
      </c>
      <c r="H349" s="46" t="s">
        <v>2</v>
      </c>
      <c r="I349" s="46" t="s">
        <v>1</v>
      </c>
      <c r="J349" s="46" t="s">
        <v>0</v>
      </c>
      <c r="K349" s="46" t="s">
        <v>1</v>
      </c>
      <c r="L349" s="46" t="s">
        <v>2</v>
      </c>
      <c r="M349" s="46" t="s">
        <v>3</v>
      </c>
      <c r="N349" s="46" t="s">
        <v>4</v>
      </c>
      <c r="O349" s="46" t="s">
        <v>5</v>
      </c>
      <c r="P349" s="46" t="s">
        <v>6</v>
      </c>
      <c r="Q349" s="46" t="s">
        <v>7</v>
      </c>
      <c r="R349" s="46" t="s">
        <v>8</v>
      </c>
      <c r="S349" s="203" t="str">
        <f>'6a-Hierarchy'!$F$4</f>
        <v>Alt.2</v>
      </c>
    </row>
    <row r="350" spans="1:19" ht="16.5" customHeight="1">
      <c r="A350" s="202"/>
      <c r="B350" s="46" t="s">
        <v>8</v>
      </c>
      <c r="C350" s="46" t="s">
        <v>7</v>
      </c>
      <c r="D350" s="46" t="s">
        <v>6</v>
      </c>
      <c r="E350" s="46" t="s">
        <v>5</v>
      </c>
      <c r="F350" s="46" t="s">
        <v>4</v>
      </c>
      <c r="G350" s="46" t="s">
        <v>3</v>
      </c>
      <c r="H350" s="46" t="s">
        <v>2</v>
      </c>
      <c r="I350" s="46" t="s">
        <v>1</v>
      </c>
      <c r="J350" s="46" t="s">
        <v>0</v>
      </c>
      <c r="K350" s="46" t="s">
        <v>1</v>
      </c>
      <c r="L350" s="46" t="s">
        <v>2</v>
      </c>
      <c r="M350" s="46" t="s">
        <v>3</v>
      </c>
      <c r="N350" s="46" t="s">
        <v>4</v>
      </c>
      <c r="O350" s="46" t="s">
        <v>5</v>
      </c>
      <c r="P350" s="46" t="s">
        <v>6</v>
      </c>
      <c r="Q350" s="46" t="s">
        <v>7</v>
      </c>
      <c r="R350" s="46" t="s">
        <v>8</v>
      </c>
      <c r="S350" s="203" t="str">
        <f>'6a-Hierarchy'!$G$4</f>
        <v>Alt.3</v>
      </c>
    </row>
    <row r="351" spans="1:19" ht="16.5" customHeight="1" thickBot="1">
      <c r="A351" s="205"/>
      <c r="B351" s="206" t="s">
        <v>8</v>
      </c>
      <c r="C351" s="206" t="s">
        <v>7</v>
      </c>
      <c r="D351" s="206" t="s">
        <v>6</v>
      </c>
      <c r="E351" s="206" t="s">
        <v>5</v>
      </c>
      <c r="F351" s="206" t="s">
        <v>4</v>
      </c>
      <c r="G351" s="206" t="s">
        <v>3</v>
      </c>
      <c r="H351" s="206" t="s">
        <v>2</v>
      </c>
      <c r="I351" s="206" t="s">
        <v>1</v>
      </c>
      <c r="J351" s="206" t="s">
        <v>0</v>
      </c>
      <c r="K351" s="206" t="s">
        <v>1</v>
      </c>
      <c r="L351" s="206" t="s">
        <v>2</v>
      </c>
      <c r="M351" s="206" t="s">
        <v>3</v>
      </c>
      <c r="N351" s="206" t="s">
        <v>4</v>
      </c>
      <c r="O351" s="206" t="s">
        <v>5</v>
      </c>
      <c r="P351" s="206" t="s">
        <v>6</v>
      </c>
      <c r="Q351" s="206" t="s">
        <v>7</v>
      </c>
      <c r="R351" s="206" t="s">
        <v>8</v>
      </c>
      <c r="S351" s="207" t="e">
        <f>'6a-Hierarchy'!#REF!</f>
        <v>#REF!</v>
      </c>
    </row>
    <row r="352" spans="1:19" ht="16.5" customHeight="1">
      <c r="A352" s="201" t="str">
        <f>'6a-Hierarchy'!$E$4</f>
        <v>Alt.1</v>
      </c>
      <c r="B352" s="169" t="s">
        <v>8</v>
      </c>
      <c r="C352" s="169" t="s">
        <v>7</v>
      </c>
      <c r="D352" s="169" t="s">
        <v>6</v>
      </c>
      <c r="E352" s="169" t="s">
        <v>5</v>
      </c>
      <c r="F352" s="169" t="s">
        <v>4</v>
      </c>
      <c r="G352" s="169" t="s">
        <v>3</v>
      </c>
      <c r="H352" s="169" t="s">
        <v>2</v>
      </c>
      <c r="I352" s="169" t="s">
        <v>1</v>
      </c>
      <c r="J352" s="169" t="s">
        <v>0</v>
      </c>
      <c r="K352" s="169" t="s">
        <v>1</v>
      </c>
      <c r="L352" s="169" t="s">
        <v>2</v>
      </c>
      <c r="M352" s="169" t="s">
        <v>3</v>
      </c>
      <c r="N352" s="169" t="s">
        <v>4</v>
      </c>
      <c r="O352" s="169" t="s">
        <v>5</v>
      </c>
      <c r="P352" s="169" t="s">
        <v>6</v>
      </c>
      <c r="Q352" s="169" t="s">
        <v>7</v>
      </c>
      <c r="R352" s="169" t="s">
        <v>8</v>
      </c>
      <c r="S352" s="170" t="str">
        <f>'6a-Hierarchy'!$F$4</f>
        <v>Alt.2</v>
      </c>
    </row>
    <row r="353" spans="1:19" ht="16.5" customHeight="1">
      <c r="A353" s="202"/>
      <c r="B353" s="46" t="s">
        <v>8</v>
      </c>
      <c r="C353" s="46" t="s">
        <v>7</v>
      </c>
      <c r="D353" s="46" t="s">
        <v>6</v>
      </c>
      <c r="E353" s="46" t="s">
        <v>5</v>
      </c>
      <c r="F353" s="46" t="s">
        <v>4</v>
      </c>
      <c r="G353" s="46" t="s">
        <v>3</v>
      </c>
      <c r="H353" s="46" t="s">
        <v>2</v>
      </c>
      <c r="I353" s="46" t="s">
        <v>1</v>
      </c>
      <c r="J353" s="46" t="s">
        <v>0</v>
      </c>
      <c r="K353" s="46" t="s">
        <v>1</v>
      </c>
      <c r="L353" s="46" t="s">
        <v>2</v>
      </c>
      <c r="M353" s="46" t="s">
        <v>3</v>
      </c>
      <c r="N353" s="46" t="s">
        <v>4</v>
      </c>
      <c r="O353" s="46" t="s">
        <v>5</v>
      </c>
      <c r="P353" s="46" t="s">
        <v>6</v>
      </c>
      <c r="Q353" s="46" t="s">
        <v>7</v>
      </c>
      <c r="R353" s="46" t="s">
        <v>8</v>
      </c>
      <c r="S353" s="203" t="str">
        <f>'6a-Hierarchy'!$G$4</f>
        <v>Alt.3</v>
      </c>
    </row>
    <row r="354" spans="1:19" ht="16.5" customHeight="1" thickBot="1">
      <c r="A354" s="205"/>
      <c r="B354" s="206" t="s">
        <v>8</v>
      </c>
      <c r="C354" s="206" t="s">
        <v>7</v>
      </c>
      <c r="D354" s="206" t="s">
        <v>6</v>
      </c>
      <c r="E354" s="206" t="s">
        <v>5</v>
      </c>
      <c r="F354" s="206" t="s">
        <v>4</v>
      </c>
      <c r="G354" s="206" t="s">
        <v>3</v>
      </c>
      <c r="H354" s="206" t="s">
        <v>2</v>
      </c>
      <c r="I354" s="206" t="s">
        <v>1</v>
      </c>
      <c r="J354" s="206" t="s">
        <v>0</v>
      </c>
      <c r="K354" s="206" t="s">
        <v>1</v>
      </c>
      <c r="L354" s="206" t="s">
        <v>2</v>
      </c>
      <c r="M354" s="206" t="s">
        <v>3</v>
      </c>
      <c r="N354" s="206" t="s">
        <v>4</v>
      </c>
      <c r="O354" s="206" t="s">
        <v>5</v>
      </c>
      <c r="P354" s="206" t="s">
        <v>6</v>
      </c>
      <c r="Q354" s="206" t="s">
        <v>7</v>
      </c>
      <c r="R354" s="206" t="s">
        <v>8</v>
      </c>
      <c r="S354" s="207" t="e">
        <f>'6a-Hierarchy'!#REF!</f>
        <v>#REF!</v>
      </c>
    </row>
    <row r="355" spans="1:19" ht="16.5" customHeight="1">
      <c r="A355" s="201" t="str">
        <f>'6a-Hierarchy'!$F$4</f>
        <v>Alt.2</v>
      </c>
      <c r="B355" s="169" t="s">
        <v>8</v>
      </c>
      <c r="C355" s="169" t="s">
        <v>7</v>
      </c>
      <c r="D355" s="169" t="s">
        <v>6</v>
      </c>
      <c r="E355" s="169" t="s">
        <v>5</v>
      </c>
      <c r="F355" s="169" t="s">
        <v>4</v>
      </c>
      <c r="G355" s="169" t="s">
        <v>3</v>
      </c>
      <c r="H355" s="169" t="s">
        <v>2</v>
      </c>
      <c r="I355" s="169" t="s">
        <v>1</v>
      </c>
      <c r="J355" s="169" t="s">
        <v>0</v>
      </c>
      <c r="K355" s="169" t="s">
        <v>1</v>
      </c>
      <c r="L355" s="169" t="s">
        <v>2</v>
      </c>
      <c r="M355" s="169" t="s">
        <v>3</v>
      </c>
      <c r="N355" s="169" t="s">
        <v>4</v>
      </c>
      <c r="O355" s="169" t="s">
        <v>5</v>
      </c>
      <c r="P355" s="169" t="s">
        <v>6</v>
      </c>
      <c r="Q355" s="169" t="s">
        <v>7</v>
      </c>
      <c r="R355" s="169" t="s">
        <v>8</v>
      </c>
      <c r="S355" s="170" t="str">
        <f>'6a-Hierarchy'!$G$4</f>
        <v>Alt.3</v>
      </c>
    </row>
    <row r="356" spans="1:19" ht="16.5" customHeight="1" thickBot="1">
      <c r="A356" s="205"/>
      <c r="B356" s="206" t="s">
        <v>8</v>
      </c>
      <c r="C356" s="206" t="s">
        <v>7</v>
      </c>
      <c r="D356" s="206" t="s">
        <v>6</v>
      </c>
      <c r="E356" s="206" t="s">
        <v>5</v>
      </c>
      <c r="F356" s="206" t="s">
        <v>4</v>
      </c>
      <c r="G356" s="206" t="s">
        <v>3</v>
      </c>
      <c r="H356" s="206" t="s">
        <v>2</v>
      </c>
      <c r="I356" s="206" t="s">
        <v>1</v>
      </c>
      <c r="J356" s="206" t="s">
        <v>0</v>
      </c>
      <c r="K356" s="206" t="s">
        <v>1</v>
      </c>
      <c r="L356" s="206" t="s">
        <v>2</v>
      </c>
      <c r="M356" s="206" t="s">
        <v>3</v>
      </c>
      <c r="N356" s="206" t="s">
        <v>4</v>
      </c>
      <c r="O356" s="206" t="s">
        <v>5</v>
      </c>
      <c r="P356" s="206" t="s">
        <v>6</v>
      </c>
      <c r="Q356" s="206" t="s">
        <v>7</v>
      </c>
      <c r="R356" s="206" t="s">
        <v>8</v>
      </c>
      <c r="S356" s="207" t="e">
        <f>'6a-Hierarchy'!#REF!</f>
        <v>#REF!</v>
      </c>
    </row>
    <row r="357" spans="1:19" ht="16.5" customHeight="1" thickBot="1">
      <c r="A357" s="213" t="str">
        <f>'6a-Hierarchy'!$G$4</f>
        <v>Alt.3</v>
      </c>
      <c r="B357" s="222" t="s">
        <v>8</v>
      </c>
      <c r="C357" s="222" t="s">
        <v>7</v>
      </c>
      <c r="D357" s="222" t="s">
        <v>6</v>
      </c>
      <c r="E357" s="222" t="s">
        <v>5</v>
      </c>
      <c r="F357" s="222" t="s">
        <v>4</v>
      </c>
      <c r="G357" s="222" t="s">
        <v>3</v>
      </c>
      <c r="H357" s="222" t="s">
        <v>2</v>
      </c>
      <c r="I357" s="222" t="s">
        <v>1</v>
      </c>
      <c r="J357" s="222" t="s">
        <v>0</v>
      </c>
      <c r="K357" s="222" t="s">
        <v>1</v>
      </c>
      <c r="L357" s="222" t="s">
        <v>2</v>
      </c>
      <c r="M357" s="222" t="s">
        <v>3</v>
      </c>
      <c r="N357" s="222" t="s">
        <v>4</v>
      </c>
      <c r="O357" s="222" t="s">
        <v>5</v>
      </c>
      <c r="P357" s="222" t="s">
        <v>6</v>
      </c>
      <c r="Q357" s="222" t="s">
        <v>7</v>
      </c>
      <c r="R357" s="222" t="s">
        <v>8</v>
      </c>
      <c r="S357" s="214" t="e">
        <f>'6a-Hierarchy'!#REF!</f>
        <v>#REF!</v>
      </c>
    </row>
    <row r="358" spans="1:19" ht="7.5" customHeight="1" thickBot="1">
      <c r="A358" s="215"/>
      <c r="B358" s="216"/>
      <c r="C358" s="216"/>
      <c r="D358" s="216"/>
      <c r="E358" s="216"/>
      <c r="F358" s="216"/>
      <c r="G358" s="216"/>
      <c r="H358" s="216"/>
      <c r="I358" s="216"/>
      <c r="J358" s="216"/>
      <c r="K358" s="216"/>
      <c r="L358" s="216"/>
      <c r="M358" s="216"/>
      <c r="N358" s="216"/>
      <c r="O358" s="216"/>
      <c r="P358" s="216"/>
      <c r="Q358" s="216"/>
      <c r="R358" s="216"/>
      <c r="S358" s="215"/>
    </row>
    <row r="359" spans="1:19" ht="18.75" customHeight="1" thickBot="1">
      <c r="A359" s="217"/>
      <c r="B359" s="218"/>
      <c r="C359" s="218"/>
      <c r="D359" s="218"/>
      <c r="E359" s="218"/>
      <c r="F359" s="218"/>
      <c r="G359" s="219"/>
      <c r="H359" s="219"/>
      <c r="I359" s="220">
        <f>'1b-Sub-Performance'!A25</f>
        <v>0</v>
      </c>
      <c r="J359" s="219" t="s">
        <v>14</v>
      </c>
      <c r="K359" s="219" t="s">
        <v>16</v>
      </c>
      <c r="L359" s="219"/>
      <c r="M359" s="219"/>
      <c r="N359" s="218"/>
      <c r="O359" s="218"/>
      <c r="P359" s="218"/>
      <c r="Q359" s="218"/>
      <c r="R359" s="218"/>
      <c r="S359" s="221"/>
    </row>
    <row r="360" spans="1:19" ht="33.75" customHeight="1" thickBot="1">
      <c r="A360" s="231" t="s">
        <v>227</v>
      </c>
      <c r="B360" s="232" t="s">
        <v>222</v>
      </c>
      <c r="C360" s="233"/>
      <c r="D360" s="232" t="s">
        <v>223</v>
      </c>
      <c r="E360" s="233"/>
      <c r="F360" s="232" t="s">
        <v>224</v>
      </c>
      <c r="G360" s="233"/>
      <c r="H360" s="232" t="s">
        <v>225</v>
      </c>
      <c r="I360" s="233"/>
      <c r="J360" s="232" t="s">
        <v>226</v>
      </c>
      <c r="K360" s="233"/>
      <c r="L360" s="232" t="s">
        <v>225</v>
      </c>
      <c r="M360" s="233"/>
      <c r="N360" s="232" t="s">
        <v>224</v>
      </c>
      <c r="O360" s="233"/>
      <c r="P360" s="232" t="s">
        <v>223</v>
      </c>
      <c r="Q360" s="233"/>
      <c r="R360" s="232" t="s">
        <v>222</v>
      </c>
      <c r="S360" s="234" t="s">
        <v>227</v>
      </c>
    </row>
    <row r="361" spans="1:19" ht="17.100000000000001" customHeight="1">
      <c r="A361" s="201" t="str">
        <f>'6a-Hierarchy'!$D$4</f>
        <v>Original</v>
      </c>
      <c r="B361" s="169" t="s">
        <v>8</v>
      </c>
      <c r="C361" s="169" t="s">
        <v>7</v>
      </c>
      <c r="D361" s="169" t="s">
        <v>6</v>
      </c>
      <c r="E361" s="169" t="s">
        <v>5</v>
      </c>
      <c r="F361" s="169" t="s">
        <v>4</v>
      </c>
      <c r="G361" s="169" t="s">
        <v>3</v>
      </c>
      <c r="H361" s="169" t="s">
        <v>2</v>
      </c>
      <c r="I361" s="169" t="s">
        <v>1</v>
      </c>
      <c r="J361" s="169" t="s">
        <v>0</v>
      </c>
      <c r="K361" s="169" t="s">
        <v>1</v>
      </c>
      <c r="L361" s="169" t="s">
        <v>2</v>
      </c>
      <c r="M361" s="169" t="s">
        <v>3</v>
      </c>
      <c r="N361" s="169" t="s">
        <v>4</v>
      </c>
      <c r="O361" s="169" t="s">
        <v>5</v>
      </c>
      <c r="P361" s="169" t="s">
        <v>6</v>
      </c>
      <c r="Q361" s="169" t="s">
        <v>7</v>
      </c>
      <c r="R361" s="169" t="s">
        <v>8</v>
      </c>
      <c r="S361" s="170" t="str">
        <f>'6a-Hierarchy'!$E$4</f>
        <v>Alt.1</v>
      </c>
    </row>
    <row r="362" spans="1:19" ht="16.5" customHeight="1">
      <c r="A362" s="202"/>
      <c r="B362" s="46" t="s">
        <v>8</v>
      </c>
      <c r="C362" s="46" t="s">
        <v>7</v>
      </c>
      <c r="D362" s="46" t="s">
        <v>6</v>
      </c>
      <c r="E362" s="46" t="s">
        <v>5</v>
      </c>
      <c r="F362" s="46" t="s">
        <v>4</v>
      </c>
      <c r="G362" s="46" t="s">
        <v>3</v>
      </c>
      <c r="H362" s="46" t="s">
        <v>2</v>
      </c>
      <c r="I362" s="46" t="s">
        <v>1</v>
      </c>
      <c r="J362" s="46" t="s">
        <v>0</v>
      </c>
      <c r="K362" s="46" t="s">
        <v>1</v>
      </c>
      <c r="L362" s="46" t="s">
        <v>2</v>
      </c>
      <c r="M362" s="46" t="s">
        <v>3</v>
      </c>
      <c r="N362" s="46" t="s">
        <v>4</v>
      </c>
      <c r="O362" s="46" t="s">
        <v>5</v>
      </c>
      <c r="P362" s="46" t="s">
        <v>6</v>
      </c>
      <c r="Q362" s="46" t="s">
        <v>7</v>
      </c>
      <c r="R362" s="46" t="s">
        <v>8</v>
      </c>
      <c r="S362" s="203" t="str">
        <f>'6a-Hierarchy'!$F$4</f>
        <v>Alt.2</v>
      </c>
    </row>
    <row r="363" spans="1:19" ht="16.5" customHeight="1">
      <c r="A363" s="202"/>
      <c r="B363" s="46" t="s">
        <v>8</v>
      </c>
      <c r="C363" s="46" t="s">
        <v>7</v>
      </c>
      <c r="D363" s="46" t="s">
        <v>6</v>
      </c>
      <c r="E363" s="46" t="s">
        <v>5</v>
      </c>
      <c r="F363" s="46" t="s">
        <v>4</v>
      </c>
      <c r="G363" s="46" t="s">
        <v>3</v>
      </c>
      <c r="H363" s="46" t="s">
        <v>2</v>
      </c>
      <c r="I363" s="46" t="s">
        <v>1</v>
      </c>
      <c r="J363" s="46" t="s">
        <v>0</v>
      </c>
      <c r="K363" s="46" t="s">
        <v>1</v>
      </c>
      <c r="L363" s="46" t="s">
        <v>2</v>
      </c>
      <c r="M363" s="46" t="s">
        <v>3</v>
      </c>
      <c r="N363" s="46" t="s">
        <v>4</v>
      </c>
      <c r="O363" s="46" t="s">
        <v>5</v>
      </c>
      <c r="P363" s="46" t="s">
        <v>6</v>
      </c>
      <c r="Q363" s="46" t="s">
        <v>7</v>
      </c>
      <c r="R363" s="46" t="s">
        <v>8</v>
      </c>
      <c r="S363" s="203" t="str">
        <f>'6a-Hierarchy'!$G$4</f>
        <v>Alt.3</v>
      </c>
    </row>
    <row r="364" spans="1:19" ht="16.5" customHeight="1" thickBot="1">
      <c r="A364" s="205"/>
      <c r="B364" s="206" t="s">
        <v>8</v>
      </c>
      <c r="C364" s="206" t="s">
        <v>7</v>
      </c>
      <c r="D364" s="206" t="s">
        <v>6</v>
      </c>
      <c r="E364" s="206" t="s">
        <v>5</v>
      </c>
      <c r="F364" s="206" t="s">
        <v>4</v>
      </c>
      <c r="G364" s="206" t="s">
        <v>3</v>
      </c>
      <c r="H364" s="206" t="s">
        <v>2</v>
      </c>
      <c r="I364" s="206" t="s">
        <v>1</v>
      </c>
      <c r="J364" s="206" t="s">
        <v>0</v>
      </c>
      <c r="K364" s="206" t="s">
        <v>1</v>
      </c>
      <c r="L364" s="206" t="s">
        <v>2</v>
      </c>
      <c r="M364" s="206" t="s">
        <v>3</v>
      </c>
      <c r="N364" s="206" t="s">
        <v>4</v>
      </c>
      <c r="O364" s="206" t="s">
        <v>5</v>
      </c>
      <c r="P364" s="206" t="s">
        <v>6</v>
      </c>
      <c r="Q364" s="206" t="s">
        <v>7</v>
      </c>
      <c r="R364" s="206" t="s">
        <v>8</v>
      </c>
      <c r="S364" s="207" t="e">
        <f>'6a-Hierarchy'!#REF!</f>
        <v>#REF!</v>
      </c>
    </row>
    <row r="365" spans="1:19" ht="16.5" customHeight="1">
      <c r="A365" s="201" t="str">
        <f>'6a-Hierarchy'!$E$4</f>
        <v>Alt.1</v>
      </c>
      <c r="B365" s="169" t="s">
        <v>8</v>
      </c>
      <c r="C365" s="169" t="s">
        <v>7</v>
      </c>
      <c r="D365" s="169" t="s">
        <v>6</v>
      </c>
      <c r="E365" s="169" t="s">
        <v>5</v>
      </c>
      <c r="F365" s="169" t="s">
        <v>4</v>
      </c>
      <c r="G365" s="169" t="s">
        <v>3</v>
      </c>
      <c r="H365" s="169" t="s">
        <v>2</v>
      </c>
      <c r="I365" s="169" t="s">
        <v>1</v>
      </c>
      <c r="J365" s="169" t="s">
        <v>0</v>
      </c>
      <c r="K365" s="169" t="s">
        <v>1</v>
      </c>
      <c r="L365" s="169" t="s">
        <v>2</v>
      </c>
      <c r="M365" s="169" t="s">
        <v>3</v>
      </c>
      <c r="N365" s="169" t="s">
        <v>4</v>
      </c>
      <c r="O365" s="169" t="s">
        <v>5</v>
      </c>
      <c r="P365" s="169" t="s">
        <v>6</v>
      </c>
      <c r="Q365" s="169" t="s">
        <v>7</v>
      </c>
      <c r="R365" s="169" t="s">
        <v>8</v>
      </c>
      <c r="S365" s="170" t="str">
        <f>'6a-Hierarchy'!$F$4</f>
        <v>Alt.2</v>
      </c>
    </row>
    <row r="366" spans="1:19" ht="16.5" customHeight="1">
      <c r="A366" s="202"/>
      <c r="B366" s="46" t="s">
        <v>8</v>
      </c>
      <c r="C366" s="46" t="s">
        <v>7</v>
      </c>
      <c r="D366" s="46" t="s">
        <v>6</v>
      </c>
      <c r="E366" s="46" t="s">
        <v>5</v>
      </c>
      <c r="F366" s="46" t="s">
        <v>4</v>
      </c>
      <c r="G366" s="46" t="s">
        <v>3</v>
      </c>
      <c r="H366" s="46" t="s">
        <v>2</v>
      </c>
      <c r="I366" s="46" t="s">
        <v>1</v>
      </c>
      <c r="J366" s="46" t="s">
        <v>0</v>
      </c>
      <c r="K366" s="46" t="s">
        <v>1</v>
      </c>
      <c r="L366" s="46" t="s">
        <v>2</v>
      </c>
      <c r="M366" s="46" t="s">
        <v>3</v>
      </c>
      <c r="N366" s="46" t="s">
        <v>4</v>
      </c>
      <c r="O366" s="46" t="s">
        <v>5</v>
      </c>
      <c r="P366" s="46" t="s">
        <v>6</v>
      </c>
      <c r="Q366" s="46" t="s">
        <v>7</v>
      </c>
      <c r="R366" s="46" t="s">
        <v>8</v>
      </c>
      <c r="S366" s="203" t="str">
        <f>'6a-Hierarchy'!$G$4</f>
        <v>Alt.3</v>
      </c>
    </row>
    <row r="367" spans="1:19" ht="16.5" customHeight="1" thickBot="1">
      <c r="A367" s="205"/>
      <c r="B367" s="206" t="s">
        <v>8</v>
      </c>
      <c r="C367" s="206" t="s">
        <v>7</v>
      </c>
      <c r="D367" s="206" t="s">
        <v>6</v>
      </c>
      <c r="E367" s="206" t="s">
        <v>5</v>
      </c>
      <c r="F367" s="206" t="s">
        <v>4</v>
      </c>
      <c r="G367" s="206" t="s">
        <v>3</v>
      </c>
      <c r="H367" s="206" t="s">
        <v>2</v>
      </c>
      <c r="I367" s="206" t="s">
        <v>1</v>
      </c>
      <c r="J367" s="206" t="s">
        <v>0</v>
      </c>
      <c r="K367" s="206" t="s">
        <v>1</v>
      </c>
      <c r="L367" s="206" t="s">
        <v>2</v>
      </c>
      <c r="M367" s="206" t="s">
        <v>3</v>
      </c>
      <c r="N367" s="206" t="s">
        <v>4</v>
      </c>
      <c r="O367" s="206" t="s">
        <v>5</v>
      </c>
      <c r="P367" s="206" t="s">
        <v>6</v>
      </c>
      <c r="Q367" s="206" t="s">
        <v>7</v>
      </c>
      <c r="R367" s="206" t="s">
        <v>8</v>
      </c>
      <c r="S367" s="207" t="e">
        <f>'6a-Hierarchy'!#REF!</f>
        <v>#REF!</v>
      </c>
    </row>
    <row r="368" spans="1:19" ht="16.5" customHeight="1">
      <c r="A368" s="201" t="str">
        <f>'6a-Hierarchy'!$F$4</f>
        <v>Alt.2</v>
      </c>
      <c r="B368" s="169" t="s">
        <v>8</v>
      </c>
      <c r="C368" s="169" t="s">
        <v>7</v>
      </c>
      <c r="D368" s="169" t="s">
        <v>6</v>
      </c>
      <c r="E368" s="169" t="s">
        <v>5</v>
      </c>
      <c r="F368" s="169" t="s">
        <v>4</v>
      </c>
      <c r="G368" s="169" t="s">
        <v>3</v>
      </c>
      <c r="H368" s="169" t="s">
        <v>2</v>
      </c>
      <c r="I368" s="169" t="s">
        <v>1</v>
      </c>
      <c r="J368" s="169" t="s">
        <v>0</v>
      </c>
      <c r="K368" s="169" t="s">
        <v>1</v>
      </c>
      <c r="L368" s="169" t="s">
        <v>2</v>
      </c>
      <c r="M368" s="169" t="s">
        <v>3</v>
      </c>
      <c r="N368" s="169" t="s">
        <v>4</v>
      </c>
      <c r="O368" s="169" t="s">
        <v>5</v>
      </c>
      <c r="P368" s="169" t="s">
        <v>6</v>
      </c>
      <c r="Q368" s="169" t="s">
        <v>7</v>
      </c>
      <c r="R368" s="169" t="s">
        <v>8</v>
      </c>
      <c r="S368" s="170" t="str">
        <f>'6a-Hierarchy'!$G$4</f>
        <v>Alt.3</v>
      </c>
    </row>
    <row r="369" spans="1:19" ht="16.5" customHeight="1" thickBot="1">
      <c r="A369" s="205"/>
      <c r="B369" s="206" t="s">
        <v>8</v>
      </c>
      <c r="C369" s="206" t="s">
        <v>7</v>
      </c>
      <c r="D369" s="206" t="s">
        <v>6</v>
      </c>
      <c r="E369" s="206" t="s">
        <v>5</v>
      </c>
      <c r="F369" s="206" t="s">
        <v>4</v>
      </c>
      <c r="G369" s="206" t="s">
        <v>3</v>
      </c>
      <c r="H369" s="206" t="s">
        <v>2</v>
      </c>
      <c r="I369" s="206" t="s">
        <v>1</v>
      </c>
      <c r="J369" s="206" t="s">
        <v>0</v>
      </c>
      <c r="K369" s="206" t="s">
        <v>1</v>
      </c>
      <c r="L369" s="206" t="s">
        <v>2</v>
      </c>
      <c r="M369" s="206" t="s">
        <v>3</v>
      </c>
      <c r="N369" s="206" t="s">
        <v>4</v>
      </c>
      <c r="O369" s="206" t="s">
        <v>5</v>
      </c>
      <c r="P369" s="206" t="s">
        <v>6</v>
      </c>
      <c r="Q369" s="206" t="s">
        <v>7</v>
      </c>
      <c r="R369" s="206" t="s">
        <v>8</v>
      </c>
      <c r="S369" s="207" t="e">
        <f>'6a-Hierarchy'!#REF!</f>
        <v>#REF!</v>
      </c>
    </row>
    <row r="370" spans="1:19" ht="16.5" customHeight="1" thickBot="1">
      <c r="A370" s="213" t="str">
        <f>'6a-Hierarchy'!$G$4</f>
        <v>Alt.3</v>
      </c>
      <c r="B370" s="222" t="s">
        <v>8</v>
      </c>
      <c r="C370" s="222" t="s">
        <v>7</v>
      </c>
      <c r="D370" s="222" t="s">
        <v>6</v>
      </c>
      <c r="E370" s="222" t="s">
        <v>5</v>
      </c>
      <c r="F370" s="222" t="s">
        <v>4</v>
      </c>
      <c r="G370" s="222" t="s">
        <v>3</v>
      </c>
      <c r="H370" s="222" t="s">
        <v>2</v>
      </c>
      <c r="I370" s="222" t="s">
        <v>1</v>
      </c>
      <c r="J370" s="222" t="s">
        <v>0</v>
      </c>
      <c r="K370" s="222" t="s">
        <v>1</v>
      </c>
      <c r="L370" s="222" t="s">
        <v>2</v>
      </c>
      <c r="M370" s="222" t="s">
        <v>3</v>
      </c>
      <c r="N370" s="222" t="s">
        <v>4</v>
      </c>
      <c r="O370" s="222" t="s">
        <v>5</v>
      </c>
      <c r="P370" s="222" t="s">
        <v>6</v>
      </c>
      <c r="Q370" s="222" t="s">
        <v>7</v>
      </c>
      <c r="R370" s="222" t="s">
        <v>8</v>
      </c>
      <c r="S370" s="214" t="e">
        <f>'6a-Hierarchy'!#REF!</f>
        <v>#REF!</v>
      </c>
    </row>
    <row r="371" spans="1:19" ht="7.5" customHeight="1" thickBot="1">
      <c r="A371" s="215"/>
      <c r="B371" s="216"/>
      <c r="C371" s="216"/>
      <c r="D371" s="216"/>
      <c r="E371" s="216"/>
      <c r="F371" s="216"/>
      <c r="G371" s="216"/>
      <c r="H371" s="216"/>
      <c r="I371" s="216"/>
      <c r="J371" s="216"/>
      <c r="K371" s="216"/>
      <c r="L371" s="216"/>
      <c r="M371" s="216"/>
      <c r="N371" s="216"/>
      <c r="O371" s="216"/>
      <c r="P371" s="216"/>
      <c r="Q371" s="216"/>
      <c r="R371" s="216"/>
      <c r="S371" s="215"/>
    </row>
    <row r="372" spans="1:19" ht="18.75" customHeight="1" thickBot="1">
      <c r="A372" s="217"/>
      <c r="B372" s="218"/>
      <c r="C372" s="218"/>
      <c r="D372" s="218"/>
      <c r="E372" s="218"/>
      <c r="F372" s="218"/>
      <c r="G372" s="219"/>
      <c r="H372" s="219"/>
      <c r="I372" s="220" t="e">
        <f>'1b-Sub-Performance'!#REF!</f>
        <v>#REF!</v>
      </c>
      <c r="J372" s="219" t="s">
        <v>14</v>
      </c>
      <c r="K372" s="219" t="s">
        <v>16</v>
      </c>
      <c r="L372" s="219"/>
      <c r="M372" s="219"/>
      <c r="N372" s="218"/>
      <c r="O372" s="218"/>
      <c r="P372" s="218"/>
      <c r="Q372" s="218"/>
      <c r="R372" s="218"/>
      <c r="S372" s="221"/>
    </row>
    <row r="373" spans="1:19" ht="33.75" customHeight="1" thickBot="1">
      <c r="A373" s="231" t="s">
        <v>227</v>
      </c>
      <c r="B373" s="232" t="s">
        <v>222</v>
      </c>
      <c r="C373" s="233"/>
      <c r="D373" s="232" t="s">
        <v>223</v>
      </c>
      <c r="E373" s="233"/>
      <c r="F373" s="232" t="s">
        <v>224</v>
      </c>
      <c r="G373" s="233"/>
      <c r="H373" s="232" t="s">
        <v>225</v>
      </c>
      <c r="I373" s="233"/>
      <c r="J373" s="232" t="s">
        <v>226</v>
      </c>
      <c r="K373" s="233"/>
      <c r="L373" s="232" t="s">
        <v>225</v>
      </c>
      <c r="M373" s="233"/>
      <c r="N373" s="232" t="s">
        <v>224</v>
      </c>
      <c r="O373" s="233"/>
      <c r="P373" s="232" t="s">
        <v>223</v>
      </c>
      <c r="Q373" s="233"/>
      <c r="R373" s="232" t="s">
        <v>222</v>
      </c>
      <c r="S373" s="234" t="s">
        <v>227</v>
      </c>
    </row>
    <row r="374" spans="1:19" ht="17.100000000000001" customHeight="1">
      <c r="A374" s="201" t="str">
        <f>'6a-Hierarchy'!$D$4</f>
        <v>Original</v>
      </c>
      <c r="B374" s="169" t="s">
        <v>8</v>
      </c>
      <c r="C374" s="169" t="s">
        <v>7</v>
      </c>
      <c r="D374" s="169" t="s">
        <v>6</v>
      </c>
      <c r="E374" s="169" t="s">
        <v>5</v>
      </c>
      <c r="F374" s="169" t="s">
        <v>4</v>
      </c>
      <c r="G374" s="169" t="s">
        <v>3</v>
      </c>
      <c r="H374" s="169" t="s">
        <v>2</v>
      </c>
      <c r="I374" s="169" t="s">
        <v>1</v>
      </c>
      <c r="J374" s="169" t="s">
        <v>0</v>
      </c>
      <c r="K374" s="169" t="s">
        <v>1</v>
      </c>
      <c r="L374" s="169" t="s">
        <v>2</v>
      </c>
      <c r="M374" s="169" t="s">
        <v>3</v>
      </c>
      <c r="N374" s="169" t="s">
        <v>4</v>
      </c>
      <c r="O374" s="169" t="s">
        <v>5</v>
      </c>
      <c r="P374" s="169" t="s">
        <v>6</v>
      </c>
      <c r="Q374" s="169" t="s">
        <v>7</v>
      </c>
      <c r="R374" s="169" t="s">
        <v>8</v>
      </c>
      <c r="S374" s="170" t="str">
        <f>'6a-Hierarchy'!$E$4</f>
        <v>Alt.1</v>
      </c>
    </row>
    <row r="375" spans="1:19" ht="16.5" customHeight="1">
      <c r="A375" s="202"/>
      <c r="B375" s="46" t="s">
        <v>8</v>
      </c>
      <c r="C375" s="46" t="s">
        <v>7</v>
      </c>
      <c r="D375" s="46" t="s">
        <v>6</v>
      </c>
      <c r="E375" s="46" t="s">
        <v>5</v>
      </c>
      <c r="F375" s="46" t="s">
        <v>4</v>
      </c>
      <c r="G375" s="46" t="s">
        <v>3</v>
      </c>
      <c r="H375" s="46" t="s">
        <v>2</v>
      </c>
      <c r="I375" s="46" t="s">
        <v>1</v>
      </c>
      <c r="J375" s="46" t="s">
        <v>0</v>
      </c>
      <c r="K375" s="46" t="s">
        <v>1</v>
      </c>
      <c r="L375" s="46" t="s">
        <v>2</v>
      </c>
      <c r="M375" s="46" t="s">
        <v>3</v>
      </c>
      <c r="N375" s="46" t="s">
        <v>4</v>
      </c>
      <c r="O375" s="46" t="s">
        <v>5</v>
      </c>
      <c r="P375" s="46" t="s">
        <v>6</v>
      </c>
      <c r="Q375" s="46" t="s">
        <v>7</v>
      </c>
      <c r="R375" s="46" t="s">
        <v>8</v>
      </c>
      <c r="S375" s="203" t="str">
        <f>'6a-Hierarchy'!$F$4</f>
        <v>Alt.2</v>
      </c>
    </row>
    <row r="376" spans="1:19" ht="16.5" customHeight="1">
      <c r="A376" s="202"/>
      <c r="B376" s="46" t="s">
        <v>8</v>
      </c>
      <c r="C376" s="46" t="s">
        <v>7</v>
      </c>
      <c r="D376" s="46" t="s">
        <v>6</v>
      </c>
      <c r="E376" s="46" t="s">
        <v>5</v>
      </c>
      <c r="F376" s="46" t="s">
        <v>4</v>
      </c>
      <c r="G376" s="46" t="s">
        <v>3</v>
      </c>
      <c r="H376" s="46" t="s">
        <v>2</v>
      </c>
      <c r="I376" s="46" t="s">
        <v>1</v>
      </c>
      <c r="J376" s="46" t="s">
        <v>0</v>
      </c>
      <c r="K376" s="46" t="s">
        <v>1</v>
      </c>
      <c r="L376" s="46" t="s">
        <v>2</v>
      </c>
      <c r="M376" s="46" t="s">
        <v>3</v>
      </c>
      <c r="N376" s="46" t="s">
        <v>4</v>
      </c>
      <c r="O376" s="46" t="s">
        <v>5</v>
      </c>
      <c r="P376" s="46" t="s">
        <v>6</v>
      </c>
      <c r="Q376" s="46" t="s">
        <v>7</v>
      </c>
      <c r="R376" s="46" t="s">
        <v>8</v>
      </c>
      <c r="S376" s="203" t="str">
        <f>'6a-Hierarchy'!$G$4</f>
        <v>Alt.3</v>
      </c>
    </row>
    <row r="377" spans="1:19" ht="16.5" customHeight="1" thickBot="1">
      <c r="A377" s="205"/>
      <c r="B377" s="206" t="s">
        <v>8</v>
      </c>
      <c r="C377" s="206" t="s">
        <v>7</v>
      </c>
      <c r="D377" s="206" t="s">
        <v>6</v>
      </c>
      <c r="E377" s="206" t="s">
        <v>5</v>
      </c>
      <c r="F377" s="206" t="s">
        <v>4</v>
      </c>
      <c r="G377" s="206" t="s">
        <v>3</v>
      </c>
      <c r="H377" s="206" t="s">
        <v>2</v>
      </c>
      <c r="I377" s="206" t="s">
        <v>1</v>
      </c>
      <c r="J377" s="206" t="s">
        <v>0</v>
      </c>
      <c r="K377" s="206" t="s">
        <v>1</v>
      </c>
      <c r="L377" s="206" t="s">
        <v>2</v>
      </c>
      <c r="M377" s="206" t="s">
        <v>3</v>
      </c>
      <c r="N377" s="206" t="s">
        <v>4</v>
      </c>
      <c r="O377" s="206" t="s">
        <v>5</v>
      </c>
      <c r="P377" s="206" t="s">
        <v>6</v>
      </c>
      <c r="Q377" s="206" t="s">
        <v>7</v>
      </c>
      <c r="R377" s="206" t="s">
        <v>8</v>
      </c>
      <c r="S377" s="207" t="e">
        <f>'6a-Hierarchy'!#REF!</f>
        <v>#REF!</v>
      </c>
    </row>
    <row r="378" spans="1:19" ht="16.5" customHeight="1">
      <c r="A378" s="201" t="str">
        <f>'6a-Hierarchy'!$E$4</f>
        <v>Alt.1</v>
      </c>
      <c r="B378" s="169" t="s">
        <v>8</v>
      </c>
      <c r="C378" s="169" t="s">
        <v>7</v>
      </c>
      <c r="D378" s="169" t="s">
        <v>6</v>
      </c>
      <c r="E378" s="169" t="s">
        <v>5</v>
      </c>
      <c r="F378" s="169" t="s">
        <v>4</v>
      </c>
      <c r="G378" s="169" t="s">
        <v>3</v>
      </c>
      <c r="H378" s="169" t="s">
        <v>2</v>
      </c>
      <c r="I378" s="169" t="s">
        <v>1</v>
      </c>
      <c r="J378" s="169" t="s">
        <v>0</v>
      </c>
      <c r="K378" s="169" t="s">
        <v>1</v>
      </c>
      <c r="L378" s="169" t="s">
        <v>2</v>
      </c>
      <c r="M378" s="169" t="s">
        <v>3</v>
      </c>
      <c r="N378" s="169" t="s">
        <v>4</v>
      </c>
      <c r="O378" s="169" t="s">
        <v>5</v>
      </c>
      <c r="P378" s="169" t="s">
        <v>6</v>
      </c>
      <c r="Q378" s="169" t="s">
        <v>7</v>
      </c>
      <c r="R378" s="169" t="s">
        <v>8</v>
      </c>
      <c r="S378" s="170" t="str">
        <f>'6a-Hierarchy'!$F$4</f>
        <v>Alt.2</v>
      </c>
    </row>
    <row r="379" spans="1:19" ht="16.5" customHeight="1">
      <c r="A379" s="202"/>
      <c r="B379" s="46" t="s">
        <v>8</v>
      </c>
      <c r="C379" s="46" t="s">
        <v>7</v>
      </c>
      <c r="D379" s="46" t="s">
        <v>6</v>
      </c>
      <c r="E379" s="46" t="s">
        <v>5</v>
      </c>
      <c r="F379" s="46" t="s">
        <v>4</v>
      </c>
      <c r="G379" s="46" t="s">
        <v>3</v>
      </c>
      <c r="H379" s="46" t="s">
        <v>2</v>
      </c>
      <c r="I379" s="46" t="s">
        <v>1</v>
      </c>
      <c r="J379" s="46" t="s">
        <v>0</v>
      </c>
      <c r="K379" s="46" t="s">
        <v>1</v>
      </c>
      <c r="L379" s="46" t="s">
        <v>2</v>
      </c>
      <c r="M379" s="46" t="s">
        <v>3</v>
      </c>
      <c r="N379" s="46" t="s">
        <v>4</v>
      </c>
      <c r="O379" s="46" t="s">
        <v>5</v>
      </c>
      <c r="P379" s="46" t="s">
        <v>6</v>
      </c>
      <c r="Q379" s="46" t="s">
        <v>7</v>
      </c>
      <c r="R379" s="46" t="s">
        <v>8</v>
      </c>
      <c r="S379" s="203" t="str">
        <f>'6a-Hierarchy'!$G$4</f>
        <v>Alt.3</v>
      </c>
    </row>
    <row r="380" spans="1:19" ht="16.5" customHeight="1" thickBot="1">
      <c r="A380" s="205"/>
      <c r="B380" s="206" t="s">
        <v>8</v>
      </c>
      <c r="C380" s="206" t="s">
        <v>7</v>
      </c>
      <c r="D380" s="206" t="s">
        <v>6</v>
      </c>
      <c r="E380" s="206" t="s">
        <v>5</v>
      </c>
      <c r="F380" s="206" t="s">
        <v>4</v>
      </c>
      <c r="G380" s="206" t="s">
        <v>3</v>
      </c>
      <c r="H380" s="206" t="s">
        <v>2</v>
      </c>
      <c r="I380" s="206" t="s">
        <v>1</v>
      </c>
      <c r="J380" s="206" t="s">
        <v>0</v>
      </c>
      <c r="K380" s="206" t="s">
        <v>1</v>
      </c>
      <c r="L380" s="206" t="s">
        <v>2</v>
      </c>
      <c r="M380" s="206" t="s">
        <v>3</v>
      </c>
      <c r="N380" s="206" t="s">
        <v>4</v>
      </c>
      <c r="O380" s="206" t="s">
        <v>5</v>
      </c>
      <c r="P380" s="206" t="s">
        <v>6</v>
      </c>
      <c r="Q380" s="206" t="s">
        <v>7</v>
      </c>
      <c r="R380" s="206" t="s">
        <v>8</v>
      </c>
      <c r="S380" s="207" t="e">
        <f>'6a-Hierarchy'!#REF!</f>
        <v>#REF!</v>
      </c>
    </row>
    <row r="381" spans="1:19" ht="16.5" customHeight="1">
      <c r="A381" s="201" t="str">
        <f>'6a-Hierarchy'!$F$4</f>
        <v>Alt.2</v>
      </c>
      <c r="B381" s="169" t="s">
        <v>8</v>
      </c>
      <c r="C381" s="169" t="s">
        <v>7</v>
      </c>
      <c r="D381" s="169" t="s">
        <v>6</v>
      </c>
      <c r="E381" s="169" t="s">
        <v>5</v>
      </c>
      <c r="F381" s="169" t="s">
        <v>4</v>
      </c>
      <c r="G381" s="169" t="s">
        <v>3</v>
      </c>
      <c r="H381" s="169" t="s">
        <v>2</v>
      </c>
      <c r="I381" s="169" t="s">
        <v>1</v>
      </c>
      <c r="J381" s="169" t="s">
        <v>0</v>
      </c>
      <c r="K381" s="169" t="s">
        <v>1</v>
      </c>
      <c r="L381" s="169" t="s">
        <v>2</v>
      </c>
      <c r="M381" s="169" t="s">
        <v>3</v>
      </c>
      <c r="N381" s="169" t="s">
        <v>4</v>
      </c>
      <c r="O381" s="169" t="s">
        <v>5</v>
      </c>
      <c r="P381" s="169" t="s">
        <v>6</v>
      </c>
      <c r="Q381" s="169" t="s">
        <v>7</v>
      </c>
      <c r="R381" s="169" t="s">
        <v>8</v>
      </c>
      <c r="S381" s="170" t="str">
        <f>'6a-Hierarchy'!$G$4</f>
        <v>Alt.3</v>
      </c>
    </row>
    <row r="382" spans="1:19" ht="16.5" customHeight="1" thickBot="1">
      <c r="A382" s="205"/>
      <c r="B382" s="206" t="s">
        <v>8</v>
      </c>
      <c r="C382" s="206" t="s">
        <v>7</v>
      </c>
      <c r="D382" s="206" t="s">
        <v>6</v>
      </c>
      <c r="E382" s="206" t="s">
        <v>5</v>
      </c>
      <c r="F382" s="206" t="s">
        <v>4</v>
      </c>
      <c r="G382" s="206" t="s">
        <v>3</v>
      </c>
      <c r="H382" s="206" t="s">
        <v>2</v>
      </c>
      <c r="I382" s="206" t="s">
        <v>1</v>
      </c>
      <c r="J382" s="206" t="s">
        <v>0</v>
      </c>
      <c r="K382" s="206" t="s">
        <v>1</v>
      </c>
      <c r="L382" s="206" t="s">
        <v>2</v>
      </c>
      <c r="M382" s="206" t="s">
        <v>3</v>
      </c>
      <c r="N382" s="206" t="s">
        <v>4</v>
      </c>
      <c r="O382" s="206" t="s">
        <v>5</v>
      </c>
      <c r="P382" s="206" t="s">
        <v>6</v>
      </c>
      <c r="Q382" s="206" t="s">
        <v>7</v>
      </c>
      <c r="R382" s="206" t="s">
        <v>8</v>
      </c>
      <c r="S382" s="207" t="e">
        <f>'6a-Hierarchy'!#REF!</f>
        <v>#REF!</v>
      </c>
    </row>
    <row r="383" spans="1:19" ht="16.5" customHeight="1" thickBot="1">
      <c r="A383" s="213" t="str">
        <f>'6a-Hierarchy'!$G$4</f>
        <v>Alt.3</v>
      </c>
      <c r="B383" s="222" t="s">
        <v>8</v>
      </c>
      <c r="C383" s="222" t="s">
        <v>7</v>
      </c>
      <c r="D383" s="222" t="s">
        <v>6</v>
      </c>
      <c r="E383" s="222" t="s">
        <v>5</v>
      </c>
      <c r="F383" s="222" t="s">
        <v>4</v>
      </c>
      <c r="G383" s="222" t="s">
        <v>3</v>
      </c>
      <c r="H383" s="222" t="s">
        <v>2</v>
      </c>
      <c r="I383" s="222" t="s">
        <v>1</v>
      </c>
      <c r="J383" s="222" t="s">
        <v>0</v>
      </c>
      <c r="K383" s="222" t="s">
        <v>1</v>
      </c>
      <c r="L383" s="222" t="s">
        <v>2</v>
      </c>
      <c r="M383" s="222" t="s">
        <v>3</v>
      </c>
      <c r="N383" s="222" t="s">
        <v>4</v>
      </c>
      <c r="O383" s="222" t="s">
        <v>5</v>
      </c>
      <c r="P383" s="222" t="s">
        <v>6</v>
      </c>
      <c r="Q383" s="222" t="s">
        <v>7</v>
      </c>
      <c r="R383" s="222" t="s">
        <v>8</v>
      </c>
      <c r="S383" s="214" t="e">
        <f>'6a-Hierarchy'!#REF!</f>
        <v>#REF!</v>
      </c>
    </row>
    <row r="384" spans="1:19" ht="7.5" customHeight="1" thickBot="1">
      <c r="A384" s="215"/>
      <c r="B384" s="216"/>
      <c r="C384" s="216"/>
      <c r="D384" s="216"/>
      <c r="E384" s="216"/>
      <c r="F384" s="216"/>
      <c r="G384" s="216"/>
      <c r="H384" s="216"/>
      <c r="I384" s="216"/>
      <c r="J384" s="216"/>
      <c r="K384" s="216"/>
      <c r="L384" s="216"/>
      <c r="M384" s="216"/>
      <c r="N384" s="216"/>
      <c r="O384" s="216"/>
      <c r="P384" s="216"/>
      <c r="Q384" s="216"/>
      <c r="R384" s="216"/>
      <c r="S384" s="215"/>
    </row>
    <row r="385" spans="1:19" ht="18.75" customHeight="1" thickBot="1">
      <c r="A385" s="217"/>
      <c r="B385" s="218"/>
      <c r="C385" s="218"/>
      <c r="D385" s="218"/>
      <c r="E385" s="218"/>
      <c r="F385" s="218"/>
      <c r="G385" s="219"/>
      <c r="H385" s="219"/>
      <c r="I385" s="220">
        <f>'1b-Sub-Performance'!A26</f>
        <v>0</v>
      </c>
      <c r="J385" s="219" t="s">
        <v>14</v>
      </c>
      <c r="K385" s="219" t="s">
        <v>16</v>
      </c>
      <c r="L385" s="219"/>
      <c r="M385" s="219"/>
      <c r="N385" s="218"/>
      <c r="O385" s="218"/>
      <c r="P385" s="218"/>
      <c r="Q385" s="218"/>
      <c r="R385" s="218"/>
      <c r="S385" s="221"/>
    </row>
    <row r="386" spans="1:19" ht="33.75" customHeight="1" thickBot="1">
      <c r="A386" s="231" t="s">
        <v>227</v>
      </c>
      <c r="B386" s="232" t="s">
        <v>222</v>
      </c>
      <c r="C386" s="233"/>
      <c r="D386" s="232" t="s">
        <v>223</v>
      </c>
      <c r="E386" s="233"/>
      <c r="F386" s="232" t="s">
        <v>224</v>
      </c>
      <c r="G386" s="233"/>
      <c r="H386" s="232" t="s">
        <v>225</v>
      </c>
      <c r="I386" s="233"/>
      <c r="J386" s="232" t="s">
        <v>226</v>
      </c>
      <c r="K386" s="233"/>
      <c r="L386" s="232" t="s">
        <v>225</v>
      </c>
      <c r="M386" s="233"/>
      <c r="N386" s="232" t="s">
        <v>224</v>
      </c>
      <c r="O386" s="233"/>
      <c r="P386" s="232" t="s">
        <v>223</v>
      </c>
      <c r="Q386" s="233"/>
      <c r="R386" s="232" t="s">
        <v>222</v>
      </c>
      <c r="S386" s="234" t="s">
        <v>227</v>
      </c>
    </row>
    <row r="387" spans="1:19" ht="17.100000000000001" customHeight="1">
      <c r="A387" s="201" t="str">
        <f>'6a-Hierarchy'!$D$4</f>
        <v>Original</v>
      </c>
      <c r="B387" s="169" t="s">
        <v>8</v>
      </c>
      <c r="C387" s="169" t="s">
        <v>7</v>
      </c>
      <c r="D387" s="169" t="s">
        <v>6</v>
      </c>
      <c r="E387" s="169" t="s">
        <v>5</v>
      </c>
      <c r="F387" s="169" t="s">
        <v>4</v>
      </c>
      <c r="G387" s="169" t="s">
        <v>3</v>
      </c>
      <c r="H387" s="169" t="s">
        <v>2</v>
      </c>
      <c r="I387" s="169" t="s">
        <v>1</v>
      </c>
      <c r="J387" s="169" t="s">
        <v>0</v>
      </c>
      <c r="K387" s="169" t="s">
        <v>1</v>
      </c>
      <c r="L387" s="169" t="s">
        <v>2</v>
      </c>
      <c r="M387" s="169" t="s">
        <v>3</v>
      </c>
      <c r="N387" s="169" t="s">
        <v>4</v>
      </c>
      <c r="O387" s="169" t="s">
        <v>5</v>
      </c>
      <c r="P387" s="169" t="s">
        <v>6</v>
      </c>
      <c r="Q387" s="169" t="s">
        <v>7</v>
      </c>
      <c r="R387" s="169" t="s">
        <v>8</v>
      </c>
      <c r="S387" s="170" t="str">
        <f>'6a-Hierarchy'!$E$4</f>
        <v>Alt.1</v>
      </c>
    </row>
    <row r="388" spans="1:19" ht="16.5" customHeight="1">
      <c r="A388" s="202"/>
      <c r="B388" s="46" t="s">
        <v>8</v>
      </c>
      <c r="C388" s="46" t="s">
        <v>7</v>
      </c>
      <c r="D388" s="46" t="s">
        <v>6</v>
      </c>
      <c r="E388" s="46" t="s">
        <v>5</v>
      </c>
      <c r="F388" s="46" t="s">
        <v>4</v>
      </c>
      <c r="G388" s="46" t="s">
        <v>3</v>
      </c>
      <c r="H388" s="46" t="s">
        <v>2</v>
      </c>
      <c r="I388" s="46" t="s">
        <v>1</v>
      </c>
      <c r="J388" s="46" t="s">
        <v>0</v>
      </c>
      <c r="K388" s="46" t="s">
        <v>1</v>
      </c>
      <c r="L388" s="46" t="s">
        <v>2</v>
      </c>
      <c r="M388" s="46" t="s">
        <v>3</v>
      </c>
      <c r="N388" s="46" t="s">
        <v>4</v>
      </c>
      <c r="O388" s="46" t="s">
        <v>5</v>
      </c>
      <c r="P388" s="46" t="s">
        <v>6</v>
      </c>
      <c r="Q388" s="46" t="s">
        <v>7</v>
      </c>
      <c r="R388" s="46" t="s">
        <v>8</v>
      </c>
      <c r="S388" s="203" t="str">
        <f>'6a-Hierarchy'!$F$4</f>
        <v>Alt.2</v>
      </c>
    </row>
    <row r="389" spans="1:19" ht="16.5" customHeight="1">
      <c r="A389" s="202"/>
      <c r="B389" s="46" t="s">
        <v>8</v>
      </c>
      <c r="C389" s="46" t="s">
        <v>7</v>
      </c>
      <c r="D389" s="46" t="s">
        <v>6</v>
      </c>
      <c r="E389" s="46" t="s">
        <v>5</v>
      </c>
      <c r="F389" s="46" t="s">
        <v>4</v>
      </c>
      <c r="G389" s="46" t="s">
        <v>3</v>
      </c>
      <c r="H389" s="46" t="s">
        <v>2</v>
      </c>
      <c r="I389" s="46" t="s">
        <v>1</v>
      </c>
      <c r="J389" s="46" t="s">
        <v>0</v>
      </c>
      <c r="K389" s="46" t="s">
        <v>1</v>
      </c>
      <c r="L389" s="46" t="s">
        <v>2</v>
      </c>
      <c r="M389" s="46" t="s">
        <v>3</v>
      </c>
      <c r="N389" s="46" t="s">
        <v>4</v>
      </c>
      <c r="O389" s="46" t="s">
        <v>5</v>
      </c>
      <c r="P389" s="46" t="s">
        <v>6</v>
      </c>
      <c r="Q389" s="46" t="s">
        <v>7</v>
      </c>
      <c r="R389" s="46" t="s">
        <v>8</v>
      </c>
      <c r="S389" s="203" t="str">
        <f>'6a-Hierarchy'!$G$4</f>
        <v>Alt.3</v>
      </c>
    </row>
    <row r="390" spans="1:19" ht="16.5" customHeight="1" thickBot="1">
      <c r="A390" s="205"/>
      <c r="B390" s="206" t="s">
        <v>8</v>
      </c>
      <c r="C390" s="206" t="s">
        <v>7</v>
      </c>
      <c r="D390" s="206" t="s">
        <v>6</v>
      </c>
      <c r="E390" s="206" t="s">
        <v>5</v>
      </c>
      <c r="F390" s="206" t="s">
        <v>4</v>
      </c>
      <c r="G390" s="206" t="s">
        <v>3</v>
      </c>
      <c r="H390" s="206" t="s">
        <v>2</v>
      </c>
      <c r="I390" s="206" t="s">
        <v>1</v>
      </c>
      <c r="J390" s="206" t="s">
        <v>0</v>
      </c>
      <c r="K390" s="206" t="s">
        <v>1</v>
      </c>
      <c r="L390" s="206" t="s">
        <v>2</v>
      </c>
      <c r="M390" s="206" t="s">
        <v>3</v>
      </c>
      <c r="N390" s="206" t="s">
        <v>4</v>
      </c>
      <c r="O390" s="206" t="s">
        <v>5</v>
      </c>
      <c r="P390" s="206" t="s">
        <v>6</v>
      </c>
      <c r="Q390" s="206" t="s">
        <v>7</v>
      </c>
      <c r="R390" s="206" t="s">
        <v>8</v>
      </c>
      <c r="S390" s="207" t="e">
        <f>'6a-Hierarchy'!#REF!</f>
        <v>#REF!</v>
      </c>
    </row>
    <row r="391" spans="1:19" ht="16.5" customHeight="1">
      <c r="A391" s="201" t="str">
        <f>'6a-Hierarchy'!$E$4</f>
        <v>Alt.1</v>
      </c>
      <c r="B391" s="169" t="s">
        <v>8</v>
      </c>
      <c r="C391" s="169" t="s">
        <v>7</v>
      </c>
      <c r="D391" s="169" t="s">
        <v>6</v>
      </c>
      <c r="E391" s="169" t="s">
        <v>5</v>
      </c>
      <c r="F391" s="169" t="s">
        <v>4</v>
      </c>
      <c r="G391" s="169" t="s">
        <v>3</v>
      </c>
      <c r="H391" s="169" t="s">
        <v>2</v>
      </c>
      <c r="I391" s="169" t="s">
        <v>1</v>
      </c>
      <c r="J391" s="169" t="s">
        <v>0</v>
      </c>
      <c r="K391" s="169" t="s">
        <v>1</v>
      </c>
      <c r="L391" s="169" t="s">
        <v>2</v>
      </c>
      <c r="M391" s="169" t="s">
        <v>3</v>
      </c>
      <c r="N391" s="169" t="s">
        <v>4</v>
      </c>
      <c r="O391" s="169" t="s">
        <v>5</v>
      </c>
      <c r="P391" s="169" t="s">
        <v>6</v>
      </c>
      <c r="Q391" s="169" t="s">
        <v>7</v>
      </c>
      <c r="R391" s="169" t="s">
        <v>8</v>
      </c>
      <c r="S391" s="170" t="str">
        <f>'6a-Hierarchy'!$F$4</f>
        <v>Alt.2</v>
      </c>
    </row>
    <row r="392" spans="1:19" ht="16.5" customHeight="1">
      <c r="A392" s="202"/>
      <c r="B392" s="46" t="s">
        <v>8</v>
      </c>
      <c r="C392" s="46" t="s">
        <v>7</v>
      </c>
      <c r="D392" s="46" t="s">
        <v>6</v>
      </c>
      <c r="E392" s="46" t="s">
        <v>5</v>
      </c>
      <c r="F392" s="46" t="s">
        <v>4</v>
      </c>
      <c r="G392" s="46" t="s">
        <v>3</v>
      </c>
      <c r="H392" s="46" t="s">
        <v>2</v>
      </c>
      <c r="I392" s="46" t="s">
        <v>1</v>
      </c>
      <c r="J392" s="46" t="s">
        <v>0</v>
      </c>
      <c r="K392" s="46" t="s">
        <v>1</v>
      </c>
      <c r="L392" s="46" t="s">
        <v>2</v>
      </c>
      <c r="M392" s="46" t="s">
        <v>3</v>
      </c>
      <c r="N392" s="46" t="s">
        <v>4</v>
      </c>
      <c r="O392" s="46" t="s">
        <v>5</v>
      </c>
      <c r="P392" s="46" t="s">
        <v>6</v>
      </c>
      <c r="Q392" s="46" t="s">
        <v>7</v>
      </c>
      <c r="R392" s="46" t="s">
        <v>8</v>
      </c>
      <c r="S392" s="203" t="str">
        <f>'6a-Hierarchy'!$G$4</f>
        <v>Alt.3</v>
      </c>
    </row>
    <row r="393" spans="1:19" ht="16.5" customHeight="1" thickBot="1">
      <c r="A393" s="205"/>
      <c r="B393" s="206" t="s">
        <v>8</v>
      </c>
      <c r="C393" s="206" t="s">
        <v>7</v>
      </c>
      <c r="D393" s="206" t="s">
        <v>6</v>
      </c>
      <c r="E393" s="206" t="s">
        <v>5</v>
      </c>
      <c r="F393" s="206" t="s">
        <v>4</v>
      </c>
      <c r="G393" s="206" t="s">
        <v>3</v>
      </c>
      <c r="H393" s="206" t="s">
        <v>2</v>
      </c>
      <c r="I393" s="206" t="s">
        <v>1</v>
      </c>
      <c r="J393" s="206" t="s">
        <v>0</v>
      </c>
      <c r="K393" s="206" t="s">
        <v>1</v>
      </c>
      <c r="L393" s="206" t="s">
        <v>2</v>
      </c>
      <c r="M393" s="206" t="s">
        <v>3</v>
      </c>
      <c r="N393" s="206" t="s">
        <v>4</v>
      </c>
      <c r="O393" s="206" t="s">
        <v>5</v>
      </c>
      <c r="P393" s="206" t="s">
        <v>6</v>
      </c>
      <c r="Q393" s="206" t="s">
        <v>7</v>
      </c>
      <c r="R393" s="206" t="s">
        <v>8</v>
      </c>
      <c r="S393" s="207" t="e">
        <f>'6a-Hierarchy'!#REF!</f>
        <v>#REF!</v>
      </c>
    </row>
    <row r="394" spans="1:19" ht="16.5" customHeight="1">
      <c r="A394" s="201" t="str">
        <f>'6a-Hierarchy'!$F$4</f>
        <v>Alt.2</v>
      </c>
      <c r="B394" s="169" t="s">
        <v>8</v>
      </c>
      <c r="C394" s="169" t="s">
        <v>7</v>
      </c>
      <c r="D394" s="169" t="s">
        <v>6</v>
      </c>
      <c r="E394" s="169" t="s">
        <v>5</v>
      </c>
      <c r="F394" s="169" t="s">
        <v>4</v>
      </c>
      <c r="G394" s="169" t="s">
        <v>3</v>
      </c>
      <c r="H394" s="169" t="s">
        <v>2</v>
      </c>
      <c r="I394" s="169" t="s">
        <v>1</v>
      </c>
      <c r="J394" s="169" t="s">
        <v>0</v>
      </c>
      <c r="K394" s="169" t="s">
        <v>1</v>
      </c>
      <c r="L394" s="169" t="s">
        <v>2</v>
      </c>
      <c r="M394" s="169" t="s">
        <v>3</v>
      </c>
      <c r="N394" s="169" t="s">
        <v>4</v>
      </c>
      <c r="O394" s="169" t="s">
        <v>5</v>
      </c>
      <c r="P394" s="169" t="s">
        <v>6</v>
      </c>
      <c r="Q394" s="169" t="s">
        <v>7</v>
      </c>
      <c r="R394" s="169" t="s">
        <v>8</v>
      </c>
      <c r="S394" s="170" t="str">
        <f>'6a-Hierarchy'!$G$4</f>
        <v>Alt.3</v>
      </c>
    </row>
    <row r="395" spans="1:19" ht="16.5" customHeight="1" thickBot="1">
      <c r="A395" s="205"/>
      <c r="B395" s="206" t="s">
        <v>8</v>
      </c>
      <c r="C395" s="206" t="s">
        <v>7</v>
      </c>
      <c r="D395" s="206" t="s">
        <v>6</v>
      </c>
      <c r="E395" s="206" t="s">
        <v>5</v>
      </c>
      <c r="F395" s="206" t="s">
        <v>4</v>
      </c>
      <c r="G395" s="206" t="s">
        <v>3</v>
      </c>
      <c r="H395" s="206" t="s">
        <v>2</v>
      </c>
      <c r="I395" s="206" t="s">
        <v>1</v>
      </c>
      <c r="J395" s="206" t="s">
        <v>0</v>
      </c>
      <c r="K395" s="206" t="s">
        <v>1</v>
      </c>
      <c r="L395" s="206" t="s">
        <v>2</v>
      </c>
      <c r="M395" s="206" t="s">
        <v>3</v>
      </c>
      <c r="N395" s="206" t="s">
        <v>4</v>
      </c>
      <c r="O395" s="206" t="s">
        <v>5</v>
      </c>
      <c r="P395" s="206" t="s">
        <v>6</v>
      </c>
      <c r="Q395" s="206" t="s">
        <v>7</v>
      </c>
      <c r="R395" s="206" t="s">
        <v>8</v>
      </c>
      <c r="S395" s="207" t="e">
        <f>'6a-Hierarchy'!#REF!</f>
        <v>#REF!</v>
      </c>
    </row>
    <row r="396" spans="1:19" ht="16.5" customHeight="1" thickBot="1">
      <c r="A396" s="213" t="str">
        <f>'6a-Hierarchy'!$G$4</f>
        <v>Alt.3</v>
      </c>
      <c r="B396" s="222" t="s">
        <v>8</v>
      </c>
      <c r="C396" s="222" t="s">
        <v>7</v>
      </c>
      <c r="D396" s="222" t="s">
        <v>6</v>
      </c>
      <c r="E396" s="222" t="s">
        <v>5</v>
      </c>
      <c r="F396" s="222" t="s">
        <v>4</v>
      </c>
      <c r="G396" s="222" t="s">
        <v>3</v>
      </c>
      <c r="H396" s="222" t="s">
        <v>2</v>
      </c>
      <c r="I396" s="222" t="s">
        <v>1</v>
      </c>
      <c r="J396" s="222" t="s">
        <v>0</v>
      </c>
      <c r="K396" s="222" t="s">
        <v>1</v>
      </c>
      <c r="L396" s="222" t="s">
        <v>2</v>
      </c>
      <c r="M396" s="222" t="s">
        <v>3</v>
      </c>
      <c r="N396" s="222" t="s">
        <v>4</v>
      </c>
      <c r="O396" s="222" t="s">
        <v>5</v>
      </c>
      <c r="P396" s="222" t="s">
        <v>6</v>
      </c>
      <c r="Q396" s="222" t="s">
        <v>7</v>
      </c>
      <c r="R396" s="222" t="s">
        <v>8</v>
      </c>
      <c r="S396" s="214" t="e">
        <f>'6a-Hierarchy'!#REF!</f>
        <v>#REF!</v>
      </c>
    </row>
    <row r="397" spans="1:19" ht="7.5" customHeight="1" thickBot="1">
      <c r="A397" s="215"/>
      <c r="B397" s="216"/>
      <c r="C397" s="216"/>
      <c r="D397" s="216"/>
      <c r="E397" s="216"/>
      <c r="F397" s="216"/>
      <c r="G397" s="216"/>
      <c r="H397" s="216"/>
      <c r="I397" s="216"/>
      <c r="J397" s="216"/>
      <c r="K397" s="216"/>
      <c r="L397" s="216"/>
      <c r="M397" s="216"/>
      <c r="N397" s="216"/>
      <c r="O397" s="216"/>
      <c r="P397" s="216"/>
      <c r="Q397" s="216"/>
      <c r="R397" s="216"/>
      <c r="S397" s="215"/>
    </row>
    <row r="398" spans="1:19" ht="18.75" customHeight="1" thickBot="1">
      <c r="A398" s="217"/>
      <c r="B398" s="218"/>
      <c r="C398" s="218"/>
      <c r="D398" s="218"/>
      <c r="E398" s="218"/>
      <c r="F398" s="218"/>
      <c r="G398" s="219"/>
      <c r="H398" s="219"/>
      <c r="I398" s="220">
        <f>'1b-Sub-Performance'!A29</f>
        <v>0</v>
      </c>
      <c r="J398" s="219" t="s">
        <v>14</v>
      </c>
      <c r="K398" s="219" t="s">
        <v>16</v>
      </c>
      <c r="L398" s="219"/>
      <c r="M398" s="219"/>
      <c r="N398" s="218"/>
      <c r="O398" s="218"/>
      <c r="P398" s="218"/>
      <c r="Q398" s="218"/>
      <c r="R398" s="218"/>
      <c r="S398" s="221"/>
    </row>
    <row r="399" spans="1:19" ht="33.75" customHeight="1" thickBot="1">
      <c r="A399" s="231" t="s">
        <v>227</v>
      </c>
      <c r="B399" s="232" t="s">
        <v>222</v>
      </c>
      <c r="C399" s="233"/>
      <c r="D399" s="232" t="s">
        <v>223</v>
      </c>
      <c r="E399" s="233"/>
      <c r="F399" s="232" t="s">
        <v>224</v>
      </c>
      <c r="G399" s="233"/>
      <c r="H399" s="232" t="s">
        <v>225</v>
      </c>
      <c r="I399" s="233"/>
      <c r="J399" s="232" t="s">
        <v>226</v>
      </c>
      <c r="K399" s="233"/>
      <c r="L399" s="232" t="s">
        <v>225</v>
      </c>
      <c r="M399" s="233"/>
      <c r="N399" s="232" t="s">
        <v>224</v>
      </c>
      <c r="O399" s="233"/>
      <c r="P399" s="232" t="s">
        <v>223</v>
      </c>
      <c r="Q399" s="233"/>
      <c r="R399" s="232" t="s">
        <v>222</v>
      </c>
      <c r="S399" s="234" t="s">
        <v>227</v>
      </c>
    </row>
    <row r="400" spans="1:19" ht="17.100000000000001" customHeight="1">
      <c r="A400" s="201" t="str">
        <f>'6a-Hierarchy'!$D$4</f>
        <v>Original</v>
      </c>
      <c r="B400" s="169" t="s">
        <v>8</v>
      </c>
      <c r="C400" s="169" t="s">
        <v>7</v>
      </c>
      <c r="D400" s="169" t="s">
        <v>6</v>
      </c>
      <c r="E400" s="169" t="s">
        <v>5</v>
      </c>
      <c r="F400" s="169" t="s">
        <v>4</v>
      </c>
      <c r="G400" s="169" t="s">
        <v>3</v>
      </c>
      <c r="H400" s="169" t="s">
        <v>2</v>
      </c>
      <c r="I400" s="169" t="s">
        <v>1</v>
      </c>
      <c r="J400" s="169" t="s">
        <v>0</v>
      </c>
      <c r="K400" s="169" t="s">
        <v>1</v>
      </c>
      <c r="L400" s="169" t="s">
        <v>2</v>
      </c>
      <c r="M400" s="169" t="s">
        <v>3</v>
      </c>
      <c r="N400" s="169" t="s">
        <v>4</v>
      </c>
      <c r="O400" s="169" t="s">
        <v>5</v>
      </c>
      <c r="P400" s="169" t="s">
        <v>6</v>
      </c>
      <c r="Q400" s="169" t="s">
        <v>7</v>
      </c>
      <c r="R400" s="169" t="s">
        <v>8</v>
      </c>
      <c r="S400" s="170" t="str">
        <f>'6a-Hierarchy'!$E$4</f>
        <v>Alt.1</v>
      </c>
    </row>
    <row r="401" spans="1:19" ht="16.5" customHeight="1">
      <c r="A401" s="202"/>
      <c r="B401" s="46" t="s">
        <v>8</v>
      </c>
      <c r="C401" s="46" t="s">
        <v>7</v>
      </c>
      <c r="D401" s="46" t="s">
        <v>6</v>
      </c>
      <c r="E401" s="46" t="s">
        <v>5</v>
      </c>
      <c r="F401" s="46" t="s">
        <v>4</v>
      </c>
      <c r="G401" s="46" t="s">
        <v>3</v>
      </c>
      <c r="H401" s="46" t="s">
        <v>2</v>
      </c>
      <c r="I401" s="46" t="s">
        <v>1</v>
      </c>
      <c r="J401" s="46" t="s">
        <v>0</v>
      </c>
      <c r="K401" s="46" t="s">
        <v>1</v>
      </c>
      <c r="L401" s="46" t="s">
        <v>2</v>
      </c>
      <c r="M401" s="46" t="s">
        <v>3</v>
      </c>
      <c r="N401" s="46" t="s">
        <v>4</v>
      </c>
      <c r="O401" s="46" t="s">
        <v>5</v>
      </c>
      <c r="P401" s="46" t="s">
        <v>6</v>
      </c>
      <c r="Q401" s="46" t="s">
        <v>7</v>
      </c>
      <c r="R401" s="46" t="s">
        <v>8</v>
      </c>
      <c r="S401" s="203" t="str">
        <f>'6a-Hierarchy'!$F$4</f>
        <v>Alt.2</v>
      </c>
    </row>
    <row r="402" spans="1:19" ht="16.5" customHeight="1">
      <c r="A402" s="202"/>
      <c r="B402" s="46" t="s">
        <v>8</v>
      </c>
      <c r="C402" s="46" t="s">
        <v>7</v>
      </c>
      <c r="D402" s="46" t="s">
        <v>6</v>
      </c>
      <c r="E402" s="46" t="s">
        <v>5</v>
      </c>
      <c r="F402" s="46" t="s">
        <v>4</v>
      </c>
      <c r="G402" s="46" t="s">
        <v>3</v>
      </c>
      <c r="H402" s="46" t="s">
        <v>2</v>
      </c>
      <c r="I402" s="46" t="s">
        <v>1</v>
      </c>
      <c r="J402" s="46" t="s">
        <v>0</v>
      </c>
      <c r="K402" s="46" t="s">
        <v>1</v>
      </c>
      <c r="L402" s="46" t="s">
        <v>2</v>
      </c>
      <c r="M402" s="46" t="s">
        <v>3</v>
      </c>
      <c r="N402" s="46" t="s">
        <v>4</v>
      </c>
      <c r="O402" s="46" t="s">
        <v>5</v>
      </c>
      <c r="P402" s="46" t="s">
        <v>6</v>
      </c>
      <c r="Q402" s="46" t="s">
        <v>7</v>
      </c>
      <c r="R402" s="46" t="s">
        <v>8</v>
      </c>
      <c r="S402" s="203" t="str">
        <f>'6a-Hierarchy'!$G$4</f>
        <v>Alt.3</v>
      </c>
    </row>
    <row r="403" spans="1:19" ht="16.5" customHeight="1" thickBot="1">
      <c r="A403" s="205"/>
      <c r="B403" s="206" t="s">
        <v>8</v>
      </c>
      <c r="C403" s="206" t="s">
        <v>7</v>
      </c>
      <c r="D403" s="206" t="s">
        <v>6</v>
      </c>
      <c r="E403" s="206" t="s">
        <v>5</v>
      </c>
      <c r="F403" s="206" t="s">
        <v>4</v>
      </c>
      <c r="G403" s="206" t="s">
        <v>3</v>
      </c>
      <c r="H403" s="206" t="s">
        <v>2</v>
      </c>
      <c r="I403" s="206" t="s">
        <v>1</v>
      </c>
      <c r="J403" s="206" t="s">
        <v>0</v>
      </c>
      <c r="K403" s="206" t="s">
        <v>1</v>
      </c>
      <c r="L403" s="206" t="s">
        <v>2</v>
      </c>
      <c r="M403" s="206" t="s">
        <v>3</v>
      </c>
      <c r="N403" s="206" t="s">
        <v>4</v>
      </c>
      <c r="O403" s="206" t="s">
        <v>5</v>
      </c>
      <c r="P403" s="206" t="s">
        <v>6</v>
      </c>
      <c r="Q403" s="206" t="s">
        <v>7</v>
      </c>
      <c r="R403" s="206" t="s">
        <v>8</v>
      </c>
      <c r="S403" s="207" t="e">
        <f>'6a-Hierarchy'!#REF!</f>
        <v>#REF!</v>
      </c>
    </row>
    <row r="404" spans="1:19" ht="16.5" customHeight="1">
      <c r="A404" s="201" t="str">
        <f>'6a-Hierarchy'!$E$4</f>
        <v>Alt.1</v>
      </c>
      <c r="B404" s="169" t="s">
        <v>8</v>
      </c>
      <c r="C404" s="169" t="s">
        <v>7</v>
      </c>
      <c r="D404" s="169" t="s">
        <v>6</v>
      </c>
      <c r="E404" s="169" t="s">
        <v>5</v>
      </c>
      <c r="F404" s="169" t="s">
        <v>4</v>
      </c>
      <c r="G404" s="169" t="s">
        <v>3</v>
      </c>
      <c r="H404" s="169" t="s">
        <v>2</v>
      </c>
      <c r="I404" s="169" t="s">
        <v>1</v>
      </c>
      <c r="J404" s="169" t="s">
        <v>0</v>
      </c>
      <c r="K404" s="169" t="s">
        <v>1</v>
      </c>
      <c r="L404" s="169" t="s">
        <v>2</v>
      </c>
      <c r="M404" s="169" t="s">
        <v>3</v>
      </c>
      <c r="N404" s="169" t="s">
        <v>4</v>
      </c>
      <c r="O404" s="169" t="s">
        <v>5</v>
      </c>
      <c r="P404" s="169" t="s">
        <v>6</v>
      </c>
      <c r="Q404" s="169" t="s">
        <v>7</v>
      </c>
      <c r="R404" s="169" t="s">
        <v>8</v>
      </c>
      <c r="S404" s="170" t="str">
        <f>'6a-Hierarchy'!$F$4</f>
        <v>Alt.2</v>
      </c>
    </row>
    <row r="405" spans="1:19" ht="16.5" customHeight="1">
      <c r="A405" s="202"/>
      <c r="B405" s="46" t="s">
        <v>8</v>
      </c>
      <c r="C405" s="46" t="s">
        <v>7</v>
      </c>
      <c r="D405" s="46" t="s">
        <v>6</v>
      </c>
      <c r="E405" s="46" t="s">
        <v>5</v>
      </c>
      <c r="F405" s="46" t="s">
        <v>4</v>
      </c>
      <c r="G405" s="46" t="s">
        <v>3</v>
      </c>
      <c r="H405" s="46" t="s">
        <v>2</v>
      </c>
      <c r="I405" s="46" t="s">
        <v>1</v>
      </c>
      <c r="J405" s="46" t="s">
        <v>0</v>
      </c>
      <c r="K405" s="46" t="s">
        <v>1</v>
      </c>
      <c r="L405" s="46" t="s">
        <v>2</v>
      </c>
      <c r="M405" s="46" t="s">
        <v>3</v>
      </c>
      <c r="N405" s="46" t="s">
        <v>4</v>
      </c>
      <c r="O405" s="46" t="s">
        <v>5</v>
      </c>
      <c r="P405" s="46" t="s">
        <v>6</v>
      </c>
      <c r="Q405" s="46" t="s">
        <v>7</v>
      </c>
      <c r="R405" s="46" t="s">
        <v>8</v>
      </c>
      <c r="S405" s="203" t="str">
        <f>'6a-Hierarchy'!$G$4</f>
        <v>Alt.3</v>
      </c>
    </row>
    <row r="406" spans="1:19" ht="16.5" customHeight="1" thickBot="1">
      <c r="A406" s="205"/>
      <c r="B406" s="206" t="s">
        <v>8</v>
      </c>
      <c r="C406" s="206" t="s">
        <v>7</v>
      </c>
      <c r="D406" s="206" t="s">
        <v>6</v>
      </c>
      <c r="E406" s="206" t="s">
        <v>5</v>
      </c>
      <c r="F406" s="206" t="s">
        <v>4</v>
      </c>
      <c r="G406" s="206" t="s">
        <v>3</v>
      </c>
      <c r="H406" s="206" t="s">
        <v>2</v>
      </c>
      <c r="I406" s="206" t="s">
        <v>1</v>
      </c>
      <c r="J406" s="206" t="s">
        <v>0</v>
      </c>
      <c r="K406" s="206" t="s">
        <v>1</v>
      </c>
      <c r="L406" s="206" t="s">
        <v>2</v>
      </c>
      <c r="M406" s="206" t="s">
        <v>3</v>
      </c>
      <c r="N406" s="206" t="s">
        <v>4</v>
      </c>
      <c r="O406" s="206" t="s">
        <v>5</v>
      </c>
      <c r="P406" s="206" t="s">
        <v>6</v>
      </c>
      <c r="Q406" s="206" t="s">
        <v>7</v>
      </c>
      <c r="R406" s="206" t="s">
        <v>8</v>
      </c>
      <c r="S406" s="207" t="e">
        <f>'6a-Hierarchy'!#REF!</f>
        <v>#REF!</v>
      </c>
    </row>
    <row r="407" spans="1:19" ht="16.5" customHeight="1">
      <c r="A407" s="201" t="str">
        <f>'6a-Hierarchy'!$F$4</f>
        <v>Alt.2</v>
      </c>
      <c r="B407" s="169" t="s">
        <v>8</v>
      </c>
      <c r="C407" s="169" t="s">
        <v>7</v>
      </c>
      <c r="D407" s="169" t="s">
        <v>6</v>
      </c>
      <c r="E407" s="169" t="s">
        <v>5</v>
      </c>
      <c r="F407" s="169" t="s">
        <v>4</v>
      </c>
      <c r="G407" s="169" t="s">
        <v>3</v>
      </c>
      <c r="H407" s="169" t="s">
        <v>2</v>
      </c>
      <c r="I407" s="169" t="s">
        <v>1</v>
      </c>
      <c r="J407" s="169" t="s">
        <v>0</v>
      </c>
      <c r="K407" s="169" t="s">
        <v>1</v>
      </c>
      <c r="L407" s="169" t="s">
        <v>2</v>
      </c>
      <c r="M407" s="169" t="s">
        <v>3</v>
      </c>
      <c r="N407" s="169" t="s">
        <v>4</v>
      </c>
      <c r="O407" s="169" t="s">
        <v>5</v>
      </c>
      <c r="P407" s="169" t="s">
        <v>6</v>
      </c>
      <c r="Q407" s="169" t="s">
        <v>7</v>
      </c>
      <c r="R407" s="169" t="s">
        <v>8</v>
      </c>
      <c r="S407" s="170" t="str">
        <f>'6a-Hierarchy'!$G$4</f>
        <v>Alt.3</v>
      </c>
    </row>
    <row r="408" spans="1:19" ht="16.5" customHeight="1" thickBot="1">
      <c r="A408" s="205"/>
      <c r="B408" s="206" t="s">
        <v>8</v>
      </c>
      <c r="C408" s="206" t="s">
        <v>7</v>
      </c>
      <c r="D408" s="206" t="s">
        <v>6</v>
      </c>
      <c r="E408" s="206" t="s">
        <v>5</v>
      </c>
      <c r="F408" s="206" t="s">
        <v>4</v>
      </c>
      <c r="G408" s="206" t="s">
        <v>3</v>
      </c>
      <c r="H408" s="206" t="s">
        <v>2</v>
      </c>
      <c r="I408" s="206" t="s">
        <v>1</v>
      </c>
      <c r="J408" s="206" t="s">
        <v>0</v>
      </c>
      <c r="K408" s="206" t="s">
        <v>1</v>
      </c>
      <c r="L408" s="206" t="s">
        <v>2</v>
      </c>
      <c r="M408" s="206" t="s">
        <v>3</v>
      </c>
      <c r="N408" s="206" t="s">
        <v>4</v>
      </c>
      <c r="O408" s="206" t="s">
        <v>5</v>
      </c>
      <c r="P408" s="206" t="s">
        <v>6</v>
      </c>
      <c r="Q408" s="206" t="s">
        <v>7</v>
      </c>
      <c r="R408" s="206" t="s">
        <v>8</v>
      </c>
      <c r="S408" s="207" t="e">
        <f>'6a-Hierarchy'!#REF!</f>
        <v>#REF!</v>
      </c>
    </row>
    <row r="409" spans="1:19" ht="16.5" customHeight="1" thickBot="1">
      <c r="A409" s="213" t="str">
        <f>'6a-Hierarchy'!$G$4</f>
        <v>Alt.3</v>
      </c>
      <c r="B409" s="222" t="s">
        <v>8</v>
      </c>
      <c r="C409" s="222" t="s">
        <v>7</v>
      </c>
      <c r="D409" s="222" t="s">
        <v>6</v>
      </c>
      <c r="E409" s="222" t="s">
        <v>5</v>
      </c>
      <c r="F409" s="222" t="s">
        <v>4</v>
      </c>
      <c r="G409" s="222" t="s">
        <v>3</v>
      </c>
      <c r="H409" s="222" t="s">
        <v>2</v>
      </c>
      <c r="I409" s="222" t="s">
        <v>1</v>
      </c>
      <c r="J409" s="222" t="s">
        <v>0</v>
      </c>
      <c r="K409" s="222" t="s">
        <v>1</v>
      </c>
      <c r="L409" s="222" t="s">
        <v>2</v>
      </c>
      <c r="M409" s="222" t="s">
        <v>3</v>
      </c>
      <c r="N409" s="222" t="s">
        <v>4</v>
      </c>
      <c r="O409" s="222" t="s">
        <v>5</v>
      </c>
      <c r="P409" s="222" t="s">
        <v>6</v>
      </c>
      <c r="Q409" s="222" t="s">
        <v>7</v>
      </c>
      <c r="R409" s="222" t="s">
        <v>8</v>
      </c>
      <c r="S409" s="214" t="e">
        <f>'6a-Hierarchy'!#REF!</f>
        <v>#REF!</v>
      </c>
    </row>
    <row r="410" spans="1:19" ht="7.5" customHeight="1" thickBot="1">
      <c r="A410" s="215"/>
      <c r="B410" s="216"/>
      <c r="C410" s="216"/>
      <c r="D410" s="216"/>
      <c r="E410" s="216"/>
      <c r="F410" s="216"/>
      <c r="G410" s="216"/>
      <c r="H410" s="216"/>
      <c r="I410" s="216"/>
      <c r="J410" s="216"/>
      <c r="K410" s="216"/>
      <c r="L410" s="216"/>
      <c r="M410" s="216"/>
      <c r="N410" s="216"/>
      <c r="O410" s="216"/>
      <c r="P410" s="216"/>
      <c r="Q410" s="216"/>
      <c r="R410" s="216"/>
      <c r="S410" s="215"/>
    </row>
    <row r="411" spans="1:19" ht="18.75" customHeight="1" thickBot="1">
      <c r="A411" s="217"/>
      <c r="B411" s="218"/>
      <c r="C411" s="218"/>
      <c r="D411" s="218"/>
      <c r="E411" s="218"/>
      <c r="F411" s="218"/>
      <c r="G411" s="219"/>
      <c r="H411" s="219"/>
      <c r="I411" s="220">
        <f>'1b-Sub-Performance'!A30</f>
        <v>0</v>
      </c>
      <c r="J411" s="219" t="s">
        <v>14</v>
      </c>
      <c r="K411" s="219" t="s">
        <v>16</v>
      </c>
      <c r="L411" s="219"/>
      <c r="M411" s="219"/>
      <c r="N411" s="218"/>
      <c r="O411" s="218"/>
      <c r="P411" s="218"/>
      <c r="Q411" s="218"/>
      <c r="R411" s="218"/>
      <c r="S411" s="221"/>
    </row>
    <row r="412" spans="1:19" ht="33.75" customHeight="1" thickBot="1">
      <c r="A412" s="231" t="s">
        <v>227</v>
      </c>
      <c r="B412" s="232" t="s">
        <v>222</v>
      </c>
      <c r="C412" s="233"/>
      <c r="D412" s="232" t="s">
        <v>223</v>
      </c>
      <c r="E412" s="233"/>
      <c r="F412" s="232" t="s">
        <v>224</v>
      </c>
      <c r="G412" s="233"/>
      <c r="H412" s="232" t="s">
        <v>225</v>
      </c>
      <c r="I412" s="233"/>
      <c r="J412" s="232" t="s">
        <v>226</v>
      </c>
      <c r="K412" s="233"/>
      <c r="L412" s="232" t="s">
        <v>225</v>
      </c>
      <c r="M412" s="233"/>
      <c r="N412" s="232" t="s">
        <v>224</v>
      </c>
      <c r="O412" s="233"/>
      <c r="P412" s="232" t="s">
        <v>223</v>
      </c>
      <c r="Q412" s="233"/>
      <c r="R412" s="232" t="s">
        <v>222</v>
      </c>
      <c r="S412" s="234" t="s">
        <v>227</v>
      </c>
    </row>
    <row r="413" spans="1:19" ht="17.100000000000001" customHeight="1">
      <c r="A413" s="201" t="str">
        <f>'6a-Hierarchy'!$D$4</f>
        <v>Original</v>
      </c>
      <c r="B413" s="169" t="s">
        <v>8</v>
      </c>
      <c r="C413" s="169" t="s">
        <v>7</v>
      </c>
      <c r="D413" s="169" t="s">
        <v>6</v>
      </c>
      <c r="E413" s="169" t="s">
        <v>5</v>
      </c>
      <c r="F413" s="169" t="s">
        <v>4</v>
      </c>
      <c r="G413" s="169" t="s">
        <v>3</v>
      </c>
      <c r="H413" s="169" t="s">
        <v>2</v>
      </c>
      <c r="I413" s="169" t="s">
        <v>1</v>
      </c>
      <c r="J413" s="169" t="s">
        <v>0</v>
      </c>
      <c r="K413" s="169" t="s">
        <v>1</v>
      </c>
      <c r="L413" s="169" t="s">
        <v>2</v>
      </c>
      <c r="M413" s="169" t="s">
        <v>3</v>
      </c>
      <c r="N413" s="169" t="s">
        <v>4</v>
      </c>
      <c r="O413" s="169" t="s">
        <v>5</v>
      </c>
      <c r="P413" s="169" t="s">
        <v>6</v>
      </c>
      <c r="Q413" s="169" t="s">
        <v>7</v>
      </c>
      <c r="R413" s="169" t="s">
        <v>8</v>
      </c>
      <c r="S413" s="170" t="str">
        <f>'6a-Hierarchy'!$E$4</f>
        <v>Alt.1</v>
      </c>
    </row>
    <row r="414" spans="1:19" ht="16.5" customHeight="1">
      <c r="A414" s="202"/>
      <c r="B414" s="46" t="s">
        <v>8</v>
      </c>
      <c r="C414" s="46" t="s">
        <v>7</v>
      </c>
      <c r="D414" s="46" t="s">
        <v>6</v>
      </c>
      <c r="E414" s="46" t="s">
        <v>5</v>
      </c>
      <c r="F414" s="46" t="s">
        <v>4</v>
      </c>
      <c r="G414" s="46" t="s">
        <v>3</v>
      </c>
      <c r="H414" s="46" t="s">
        <v>2</v>
      </c>
      <c r="I414" s="46" t="s">
        <v>1</v>
      </c>
      <c r="J414" s="46" t="s">
        <v>0</v>
      </c>
      <c r="K414" s="46" t="s">
        <v>1</v>
      </c>
      <c r="L414" s="46" t="s">
        <v>2</v>
      </c>
      <c r="M414" s="46" t="s">
        <v>3</v>
      </c>
      <c r="N414" s="46" t="s">
        <v>4</v>
      </c>
      <c r="O414" s="46" t="s">
        <v>5</v>
      </c>
      <c r="P414" s="46" t="s">
        <v>6</v>
      </c>
      <c r="Q414" s="46" t="s">
        <v>7</v>
      </c>
      <c r="R414" s="46" t="s">
        <v>8</v>
      </c>
      <c r="S414" s="203" t="str">
        <f>'6a-Hierarchy'!$F$4</f>
        <v>Alt.2</v>
      </c>
    </row>
    <row r="415" spans="1:19" ht="16.5" customHeight="1">
      <c r="A415" s="202"/>
      <c r="B415" s="46" t="s">
        <v>8</v>
      </c>
      <c r="C415" s="46" t="s">
        <v>7</v>
      </c>
      <c r="D415" s="46" t="s">
        <v>6</v>
      </c>
      <c r="E415" s="46" t="s">
        <v>5</v>
      </c>
      <c r="F415" s="46" t="s">
        <v>4</v>
      </c>
      <c r="G415" s="46" t="s">
        <v>3</v>
      </c>
      <c r="H415" s="46" t="s">
        <v>2</v>
      </c>
      <c r="I415" s="46" t="s">
        <v>1</v>
      </c>
      <c r="J415" s="46" t="s">
        <v>0</v>
      </c>
      <c r="K415" s="46" t="s">
        <v>1</v>
      </c>
      <c r="L415" s="46" t="s">
        <v>2</v>
      </c>
      <c r="M415" s="46" t="s">
        <v>3</v>
      </c>
      <c r="N415" s="46" t="s">
        <v>4</v>
      </c>
      <c r="O415" s="46" t="s">
        <v>5</v>
      </c>
      <c r="P415" s="46" t="s">
        <v>6</v>
      </c>
      <c r="Q415" s="46" t="s">
        <v>7</v>
      </c>
      <c r="R415" s="46" t="s">
        <v>8</v>
      </c>
      <c r="S415" s="203" t="str">
        <f>'6a-Hierarchy'!$G$4</f>
        <v>Alt.3</v>
      </c>
    </row>
    <row r="416" spans="1:19" ht="16.5" customHeight="1" thickBot="1">
      <c r="A416" s="205"/>
      <c r="B416" s="206" t="s">
        <v>8</v>
      </c>
      <c r="C416" s="206" t="s">
        <v>7</v>
      </c>
      <c r="D416" s="206" t="s">
        <v>6</v>
      </c>
      <c r="E416" s="206" t="s">
        <v>5</v>
      </c>
      <c r="F416" s="206" t="s">
        <v>4</v>
      </c>
      <c r="G416" s="206" t="s">
        <v>3</v>
      </c>
      <c r="H416" s="206" t="s">
        <v>2</v>
      </c>
      <c r="I416" s="206" t="s">
        <v>1</v>
      </c>
      <c r="J416" s="206" t="s">
        <v>0</v>
      </c>
      <c r="K416" s="206" t="s">
        <v>1</v>
      </c>
      <c r="L416" s="206" t="s">
        <v>2</v>
      </c>
      <c r="M416" s="206" t="s">
        <v>3</v>
      </c>
      <c r="N416" s="206" t="s">
        <v>4</v>
      </c>
      <c r="O416" s="206" t="s">
        <v>5</v>
      </c>
      <c r="P416" s="206" t="s">
        <v>6</v>
      </c>
      <c r="Q416" s="206" t="s">
        <v>7</v>
      </c>
      <c r="R416" s="206" t="s">
        <v>8</v>
      </c>
      <c r="S416" s="207" t="e">
        <f>'6a-Hierarchy'!#REF!</f>
        <v>#REF!</v>
      </c>
    </row>
    <row r="417" spans="1:19" ht="16.5" customHeight="1">
      <c r="A417" s="201" t="str">
        <f>'6a-Hierarchy'!$E$4</f>
        <v>Alt.1</v>
      </c>
      <c r="B417" s="169" t="s">
        <v>8</v>
      </c>
      <c r="C417" s="169" t="s">
        <v>7</v>
      </c>
      <c r="D417" s="169" t="s">
        <v>6</v>
      </c>
      <c r="E417" s="169" t="s">
        <v>5</v>
      </c>
      <c r="F417" s="169" t="s">
        <v>4</v>
      </c>
      <c r="G417" s="169" t="s">
        <v>3</v>
      </c>
      <c r="H417" s="169" t="s">
        <v>2</v>
      </c>
      <c r="I417" s="169" t="s">
        <v>1</v>
      </c>
      <c r="J417" s="169" t="s">
        <v>0</v>
      </c>
      <c r="K417" s="169" t="s">
        <v>1</v>
      </c>
      <c r="L417" s="169" t="s">
        <v>2</v>
      </c>
      <c r="M417" s="169" t="s">
        <v>3</v>
      </c>
      <c r="N417" s="169" t="s">
        <v>4</v>
      </c>
      <c r="O417" s="169" t="s">
        <v>5</v>
      </c>
      <c r="P417" s="169" t="s">
        <v>6</v>
      </c>
      <c r="Q417" s="169" t="s">
        <v>7</v>
      </c>
      <c r="R417" s="169" t="s">
        <v>8</v>
      </c>
      <c r="S417" s="170" t="str">
        <f>'6a-Hierarchy'!$F$4</f>
        <v>Alt.2</v>
      </c>
    </row>
    <row r="418" spans="1:19" ht="16.5" customHeight="1">
      <c r="A418" s="202"/>
      <c r="B418" s="46" t="s">
        <v>8</v>
      </c>
      <c r="C418" s="46" t="s">
        <v>7</v>
      </c>
      <c r="D418" s="46" t="s">
        <v>6</v>
      </c>
      <c r="E418" s="46" t="s">
        <v>5</v>
      </c>
      <c r="F418" s="46" t="s">
        <v>4</v>
      </c>
      <c r="G418" s="46" t="s">
        <v>3</v>
      </c>
      <c r="H418" s="46" t="s">
        <v>2</v>
      </c>
      <c r="I418" s="46" t="s">
        <v>1</v>
      </c>
      <c r="J418" s="46" t="s">
        <v>0</v>
      </c>
      <c r="K418" s="46" t="s">
        <v>1</v>
      </c>
      <c r="L418" s="46" t="s">
        <v>2</v>
      </c>
      <c r="M418" s="46" t="s">
        <v>3</v>
      </c>
      <c r="N418" s="46" t="s">
        <v>4</v>
      </c>
      <c r="O418" s="46" t="s">
        <v>5</v>
      </c>
      <c r="P418" s="46" t="s">
        <v>6</v>
      </c>
      <c r="Q418" s="46" t="s">
        <v>7</v>
      </c>
      <c r="R418" s="46" t="s">
        <v>8</v>
      </c>
      <c r="S418" s="203" t="str">
        <f>'6a-Hierarchy'!$G$4</f>
        <v>Alt.3</v>
      </c>
    </row>
    <row r="419" spans="1:19" ht="16.5" customHeight="1" thickBot="1">
      <c r="A419" s="205"/>
      <c r="B419" s="206" t="s">
        <v>8</v>
      </c>
      <c r="C419" s="206" t="s">
        <v>7</v>
      </c>
      <c r="D419" s="206" t="s">
        <v>6</v>
      </c>
      <c r="E419" s="206" t="s">
        <v>5</v>
      </c>
      <c r="F419" s="206" t="s">
        <v>4</v>
      </c>
      <c r="G419" s="206" t="s">
        <v>3</v>
      </c>
      <c r="H419" s="206" t="s">
        <v>2</v>
      </c>
      <c r="I419" s="206" t="s">
        <v>1</v>
      </c>
      <c r="J419" s="206" t="s">
        <v>0</v>
      </c>
      <c r="K419" s="206" t="s">
        <v>1</v>
      </c>
      <c r="L419" s="206" t="s">
        <v>2</v>
      </c>
      <c r="M419" s="206" t="s">
        <v>3</v>
      </c>
      <c r="N419" s="206" t="s">
        <v>4</v>
      </c>
      <c r="O419" s="206" t="s">
        <v>5</v>
      </c>
      <c r="P419" s="206" t="s">
        <v>6</v>
      </c>
      <c r="Q419" s="206" t="s">
        <v>7</v>
      </c>
      <c r="R419" s="206" t="s">
        <v>8</v>
      </c>
      <c r="S419" s="207" t="e">
        <f>'6a-Hierarchy'!#REF!</f>
        <v>#REF!</v>
      </c>
    </row>
    <row r="420" spans="1:19" ht="16.5" customHeight="1">
      <c r="A420" s="201" t="str">
        <f>'6a-Hierarchy'!$F$4</f>
        <v>Alt.2</v>
      </c>
      <c r="B420" s="169" t="s">
        <v>8</v>
      </c>
      <c r="C420" s="169" t="s">
        <v>7</v>
      </c>
      <c r="D420" s="169" t="s">
        <v>6</v>
      </c>
      <c r="E420" s="169" t="s">
        <v>5</v>
      </c>
      <c r="F420" s="169" t="s">
        <v>4</v>
      </c>
      <c r="G420" s="169" t="s">
        <v>3</v>
      </c>
      <c r="H420" s="169" t="s">
        <v>2</v>
      </c>
      <c r="I420" s="169" t="s">
        <v>1</v>
      </c>
      <c r="J420" s="169" t="s">
        <v>0</v>
      </c>
      <c r="K420" s="169" t="s">
        <v>1</v>
      </c>
      <c r="L420" s="169" t="s">
        <v>2</v>
      </c>
      <c r="M420" s="169" t="s">
        <v>3</v>
      </c>
      <c r="N420" s="169" t="s">
        <v>4</v>
      </c>
      <c r="O420" s="169" t="s">
        <v>5</v>
      </c>
      <c r="P420" s="169" t="s">
        <v>6</v>
      </c>
      <c r="Q420" s="169" t="s">
        <v>7</v>
      </c>
      <c r="R420" s="169" t="s">
        <v>8</v>
      </c>
      <c r="S420" s="170" t="str">
        <f>'6a-Hierarchy'!$G$4</f>
        <v>Alt.3</v>
      </c>
    </row>
    <row r="421" spans="1:19" ht="16.5" customHeight="1" thickBot="1">
      <c r="A421" s="205"/>
      <c r="B421" s="206" t="s">
        <v>8</v>
      </c>
      <c r="C421" s="206" t="s">
        <v>7</v>
      </c>
      <c r="D421" s="206" t="s">
        <v>6</v>
      </c>
      <c r="E421" s="206" t="s">
        <v>5</v>
      </c>
      <c r="F421" s="206" t="s">
        <v>4</v>
      </c>
      <c r="G421" s="206" t="s">
        <v>3</v>
      </c>
      <c r="H421" s="206" t="s">
        <v>2</v>
      </c>
      <c r="I421" s="206" t="s">
        <v>1</v>
      </c>
      <c r="J421" s="206" t="s">
        <v>0</v>
      </c>
      <c r="K421" s="206" t="s">
        <v>1</v>
      </c>
      <c r="L421" s="206" t="s">
        <v>2</v>
      </c>
      <c r="M421" s="206" t="s">
        <v>3</v>
      </c>
      <c r="N421" s="206" t="s">
        <v>4</v>
      </c>
      <c r="O421" s="206" t="s">
        <v>5</v>
      </c>
      <c r="P421" s="206" t="s">
        <v>6</v>
      </c>
      <c r="Q421" s="206" t="s">
        <v>7</v>
      </c>
      <c r="R421" s="206" t="s">
        <v>8</v>
      </c>
      <c r="S421" s="207" t="e">
        <f>'6a-Hierarchy'!#REF!</f>
        <v>#REF!</v>
      </c>
    </row>
    <row r="422" spans="1:19" ht="16.5" customHeight="1" thickBot="1">
      <c r="A422" s="213" t="str">
        <f>'6a-Hierarchy'!$G$4</f>
        <v>Alt.3</v>
      </c>
      <c r="B422" s="222" t="s">
        <v>8</v>
      </c>
      <c r="C422" s="222" t="s">
        <v>7</v>
      </c>
      <c r="D422" s="222" t="s">
        <v>6</v>
      </c>
      <c r="E422" s="222" t="s">
        <v>5</v>
      </c>
      <c r="F422" s="222" t="s">
        <v>4</v>
      </c>
      <c r="G422" s="222" t="s">
        <v>3</v>
      </c>
      <c r="H422" s="222" t="s">
        <v>2</v>
      </c>
      <c r="I422" s="222" t="s">
        <v>1</v>
      </c>
      <c r="J422" s="222" t="s">
        <v>0</v>
      </c>
      <c r="K422" s="222" t="s">
        <v>1</v>
      </c>
      <c r="L422" s="222" t="s">
        <v>2</v>
      </c>
      <c r="M422" s="222" t="s">
        <v>3</v>
      </c>
      <c r="N422" s="222" t="s">
        <v>4</v>
      </c>
      <c r="O422" s="222" t="s">
        <v>5</v>
      </c>
      <c r="P422" s="222" t="s">
        <v>6</v>
      </c>
      <c r="Q422" s="222" t="s">
        <v>7</v>
      </c>
      <c r="R422" s="222" t="s">
        <v>8</v>
      </c>
      <c r="S422" s="214" t="e">
        <f>'6a-Hierarchy'!#REF!</f>
        <v>#REF!</v>
      </c>
    </row>
    <row r="423" spans="1:19" ht="7.5" customHeight="1" thickBot="1">
      <c r="A423" s="215"/>
      <c r="B423" s="216"/>
      <c r="C423" s="216"/>
      <c r="D423" s="216"/>
      <c r="E423" s="216"/>
      <c r="F423" s="216"/>
      <c r="G423" s="216"/>
      <c r="H423" s="216"/>
      <c r="I423" s="216"/>
      <c r="J423" s="216"/>
      <c r="K423" s="216"/>
      <c r="L423" s="216"/>
      <c r="M423" s="216"/>
      <c r="N423" s="216"/>
      <c r="O423" s="216"/>
      <c r="P423" s="216"/>
      <c r="Q423" s="216"/>
      <c r="R423" s="216"/>
      <c r="S423" s="215"/>
    </row>
    <row r="424" spans="1:19" ht="18.75" customHeight="1" thickBot="1">
      <c r="A424" s="217"/>
      <c r="B424" s="218"/>
      <c r="C424" s="218"/>
      <c r="D424" s="218"/>
      <c r="E424" s="218"/>
      <c r="F424" s="218"/>
      <c r="G424" s="219"/>
      <c r="H424" s="219"/>
      <c r="I424" s="220" t="e">
        <f>'1b-Sub-Performance'!#REF!</f>
        <v>#REF!</v>
      </c>
      <c r="J424" s="219" t="s">
        <v>14</v>
      </c>
      <c r="K424" s="219" t="s">
        <v>16</v>
      </c>
      <c r="L424" s="219"/>
      <c r="M424" s="219"/>
      <c r="N424" s="218"/>
      <c r="O424" s="218"/>
      <c r="P424" s="218"/>
      <c r="Q424" s="218"/>
      <c r="R424" s="218"/>
      <c r="S424" s="221"/>
    </row>
    <row r="425" spans="1:19" ht="33.75" customHeight="1" thickBot="1">
      <c r="A425" s="231" t="s">
        <v>227</v>
      </c>
      <c r="B425" s="232" t="s">
        <v>222</v>
      </c>
      <c r="C425" s="233"/>
      <c r="D425" s="232" t="s">
        <v>223</v>
      </c>
      <c r="E425" s="233"/>
      <c r="F425" s="232" t="s">
        <v>224</v>
      </c>
      <c r="G425" s="233"/>
      <c r="H425" s="232" t="s">
        <v>225</v>
      </c>
      <c r="I425" s="233"/>
      <c r="J425" s="232" t="s">
        <v>226</v>
      </c>
      <c r="K425" s="233"/>
      <c r="L425" s="232" t="s">
        <v>225</v>
      </c>
      <c r="M425" s="233"/>
      <c r="N425" s="232" t="s">
        <v>224</v>
      </c>
      <c r="O425" s="233"/>
      <c r="P425" s="232" t="s">
        <v>223</v>
      </c>
      <c r="Q425" s="233"/>
      <c r="R425" s="232" t="s">
        <v>222</v>
      </c>
      <c r="S425" s="234" t="s">
        <v>227</v>
      </c>
    </row>
    <row r="426" spans="1:19" ht="17.100000000000001" customHeight="1">
      <c r="A426" s="201" t="str">
        <f>'6a-Hierarchy'!$D$4</f>
        <v>Original</v>
      </c>
      <c r="B426" s="169" t="s">
        <v>8</v>
      </c>
      <c r="C426" s="169" t="s">
        <v>7</v>
      </c>
      <c r="D426" s="169" t="s">
        <v>6</v>
      </c>
      <c r="E426" s="169" t="s">
        <v>5</v>
      </c>
      <c r="F426" s="169" t="s">
        <v>4</v>
      </c>
      <c r="G426" s="169" t="s">
        <v>3</v>
      </c>
      <c r="H426" s="169" t="s">
        <v>2</v>
      </c>
      <c r="I426" s="169" t="s">
        <v>1</v>
      </c>
      <c r="J426" s="169" t="s">
        <v>0</v>
      </c>
      <c r="K426" s="169" t="s">
        <v>1</v>
      </c>
      <c r="L426" s="169" t="s">
        <v>2</v>
      </c>
      <c r="M426" s="169" t="s">
        <v>3</v>
      </c>
      <c r="N426" s="169" t="s">
        <v>4</v>
      </c>
      <c r="O426" s="169" t="s">
        <v>5</v>
      </c>
      <c r="P426" s="169" t="s">
        <v>6</v>
      </c>
      <c r="Q426" s="169" t="s">
        <v>7</v>
      </c>
      <c r="R426" s="169" t="s">
        <v>8</v>
      </c>
      <c r="S426" s="170" t="str">
        <f>'6a-Hierarchy'!$E$4</f>
        <v>Alt.1</v>
      </c>
    </row>
    <row r="427" spans="1:19" ht="16.5" customHeight="1">
      <c r="A427" s="202"/>
      <c r="B427" s="46" t="s">
        <v>8</v>
      </c>
      <c r="C427" s="46" t="s">
        <v>7</v>
      </c>
      <c r="D427" s="46" t="s">
        <v>6</v>
      </c>
      <c r="E427" s="46" t="s">
        <v>5</v>
      </c>
      <c r="F427" s="46" t="s">
        <v>4</v>
      </c>
      <c r="G427" s="46" t="s">
        <v>3</v>
      </c>
      <c r="H427" s="46" t="s">
        <v>2</v>
      </c>
      <c r="I427" s="46" t="s">
        <v>1</v>
      </c>
      <c r="J427" s="46" t="s">
        <v>0</v>
      </c>
      <c r="K427" s="46" t="s">
        <v>1</v>
      </c>
      <c r="L427" s="46" t="s">
        <v>2</v>
      </c>
      <c r="M427" s="46" t="s">
        <v>3</v>
      </c>
      <c r="N427" s="46" t="s">
        <v>4</v>
      </c>
      <c r="O427" s="46" t="s">
        <v>5</v>
      </c>
      <c r="P427" s="46" t="s">
        <v>6</v>
      </c>
      <c r="Q427" s="46" t="s">
        <v>7</v>
      </c>
      <c r="R427" s="46" t="s">
        <v>8</v>
      </c>
      <c r="S427" s="203" t="str">
        <f>'6a-Hierarchy'!$F$4</f>
        <v>Alt.2</v>
      </c>
    </row>
    <row r="428" spans="1:19" ht="16.5" customHeight="1">
      <c r="A428" s="202"/>
      <c r="B428" s="46" t="s">
        <v>8</v>
      </c>
      <c r="C428" s="46" t="s">
        <v>7</v>
      </c>
      <c r="D428" s="46" t="s">
        <v>6</v>
      </c>
      <c r="E428" s="46" t="s">
        <v>5</v>
      </c>
      <c r="F428" s="46" t="s">
        <v>4</v>
      </c>
      <c r="G428" s="46" t="s">
        <v>3</v>
      </c>
      <c r="H428" s="46" t="s">
        <v>2</v>
      </c>
      <c r="I428" s="46" t="s">
        <v>1</v>
      </c>
      <c r="J428" s="46" t="s">
        <v>0</v>
      </c>
      <c r="K428" s="46" t="s">
        <v>1</v>
      </c>
      <c r="L428" s="46" t="s">
        <v>2</v>
      </c>
      <c r="M428" s="46" t="s">
        <v>3</v>
      </c>
      <c r="N428" s="46" t="s">
        <v>4</v>
      </c>
      <c r="O428" s="46" t="s">
        <v>5</v>
      </c>
      <c r="P428" s="46" t="s">
        <v>6</v>
      </c>
      <c r="Q428" s="46" t="s">
        <v>7</v>
      </c>
      <c r="R428" s="46" t="s">
        <v>8</v>
      </c>
      <c r="S428" s="203" t="str">
        <f>'6a-Hierarchy'!$G$4</f>
        <v>Alt.3</v>
      </c>
    </row>
    <row r="429" spans="1:19" ht="16.5" customHeight="1" thickBot="1">
      <c r="A429" s="205"/>
      <c r="B429" s="206" t="s">
        <v>8</v>
      </c>
      <c r="C429" s="206" t="s">
        <v>7</v>
      </c>
      <c r="D429" s="206" t="s">
        <v>6</v>
      </c>
      <c r="E429" s="206" t="s">
        <v>5</v>
      </c>
      <c r="F429" s="206" t="s">
        <v>4</v>
      </c>
      <c r="G429" s="206" t="s">
        <v>3</v>
      </c>
      <c r="H429" s="206" t="s">
        <v>2</v>
      </c>
      <c r="I429" s="206" t="s">
        <v>1</v>
      </c>
      <c r="J429" s="206" t="s">
        <v>0</v>
      </c>
      <c r="K429" s="206" t="s">
        <v>1</v>
      </c>
      <c r="L429" s="206" t="s">
        <v>2</v>
      </c>
      <c r="M429" s="206" t="s">
        <v>3</v>
      </c>
      <c r="N429" s="206" t="s">
        <v>4</v>
      </c>
      <c r="O429" s="206" t="s">
        <v>5</v>
      </c>
      <c r="P429" s="206" t="s">
        <v>6</v>
      </c>
      <c r="Q429" s="206" t="s">
        <v>7</v>
      </c>
      <c r="R429" s="206" t="s">
        <v>8</v>
      </c>
      <c r="S429" s="207" t="e">
        <f>'6a-Hierarchy'!#REF!</f>
        <v>#REF!</v>
      </c>
    </row>
    <row r="430" spans="1:19" ht="16.5" customHeight="1">
      <c r="A430" s="201" t="str">
        <f>'6a-Hierarchy'!$E$4</f>
        <v>Alt.1</v>
      </c>
      <c r="B430" s="169" t="s">
        <v>8</v>
      </c>
      <c r="C430" s="169" t="s">
        <v>7</v>
      </c>
      <c r="D430" s="169" t="s">
        <v>6</v>
      </c>
      <c r="E430" s="169" t="s">
        <v>5</v>
      </c>
      <c r="F430" s="169" t="s">
        <v>4</v>
      </c>
      <c r="G430" s="169" t="s">
        <v>3</v>
      </c>
      <c r="H430" s="169" t="s">
        <v>2</v>
      </c>
      <c r="I430" s="169" t="s">
        <v>1</v>
      </c>
      <c r="J430" s="169" t="s">
        <v>0</v>
      </c>
      <c r="K430" s="169" t="s">
        <v>1</v>
      </c>
      <c r="L430" s="169" t="s">
        <v>2</v>
      </c>
      <c r="M430" s="169" t="s">
        <v>3</v>
      </c>
      <c r="N430" s="169" t="s">
        <v>4</v>
      </c>
      <c r="O430" s="169" t="s">
        <v>5</v>
      </c>
      <c r="P430" s="169" t="s">
        <v>6</v>
      </c>
      <c r="Q430" s="169" t="s">
        <v>7</v>
      </c>
      <c r="R430" s="169" t="s">
        <v>8</v>
      </c>
      <c r="S430" s="170" t="str">
        <f>'6a-Hierarchy'!$F$4</f>
        <v>Alt.2</v>
      </c>
    </row>
    <row r="431" spans="1:19" ht="16.5" customHeight="1">
      <c r="A431" s="202"/>
      <c r="B431" s="46" t="s">
        <v>8</v>
      </c>
      <c r="C431" s="46" t="s">
        <v>7</v>
      </c>
      <c r="D431" s="46" t="s">
        <v>6</v>
      </c>
      <c r="E431" s="46" t="s">
        <v>5</v>
      </c>
      <c r="F431" s="46" t="s">
        <v>4</v>
      </c>
      <c r="G431" s="46" t="s">
        <v>3</v>
      </c>
      <c r="H431" s="46" t="s">
        <v>2</v>
      </c>
      <c r="I431" s="46" t="s">
        <v>1</v>
      </c>
      <c r="J431" s="46" t="s">
        <v>0</v>
      </c>
      <c r="K431" s="46" t="s">
        <v>1</v>
      </c>
      <c r="L431" s="46" t="s">
        <v>2</v>
      </c>
      <c r="M431" s="46" t="s">
        <v>3</v>
      </c>
      <c r="N431" s="46" t="s">
        <v>4</v>
      </c>
      <c r="O431" s="46" t="s">
        <v>5</v>
      </c>
      <c r="P431" s="46" t="s">
        <v>6</v>
      </c>
      <c r="Q431" s="46" t="s">
        <v>7</v>
      </c>
      <c r="R431" s="46" t="s">
        <v>8</v>
      </c>
      <c r="S431" s="203" t="str">
        <f>'6a-Hierarchy'!$G$4</f>
        <v>Alt.3</v>
      </c>
    </row>
    <row r="432" spans="1:19" ht="16.5" customHeight="1" thickBot="1">
      <c r="A432" s="205"/>
      <c r="B432" s="206" t="s">
        <v>8</v>
      </c>
      <c r="C432" s="206" t="s">
        <v>7</v>
      </c>
      <c r="D432" s="206" t="s">
        <v>6</v>
      </c>
      <c r="E432" s="206" t="s">
        <v>5</v>
      </c>
      <c r="F432" s="206" t="s">
        <v>4</v>
      </c>
      <c r="G432" s="206" t="s">
        <v>3</v>
      </c>
      <c r="H432" s="206" t="s">
        <v>2</v>
      </c>
      <c r="I432" s="206" t="s">
        <v>1</v>
      </c>
      <c r="J432" s="206" t="s">
        <v>0</v>
      </c>
      <c r="K432" s="206" t="s">
        <v>1</v>
      </c>
      <c r="L432" s="206" t="s">
        <v>2</v>
      </c>
      <c r="M432" s="206" t="s">
        <v>3</v>
      </c>
      <c r="N432" s="206" t="s">
        <v>4</v>
      </c>
      <c r="O432" s="206" t="s">
        <v>5</v>
      </c>
      <c r="P432" s="206" t="s">
        <v>6</v>
      </c>
      <c r="Q432" s="206" t="s">
        <v>7</v>
      </c>
      <c r="R432" s="206" t="s">
        <v>8</v>
      </c>
      <c r="S432" s="207" t="e">
        <f>'6a-Hierarchy'!#REF!</f>
        <v>#REF!</v>
      </c>
    </row>
    <row r="433" spans="1:19" ht="16.5" customHeight="1">
      <c r="A433" s="201" t="str">
        <f>'6a-Hierarchy'!$F$4</f>
        <v>Alt.2</v>
      </c>
      <c r="B433" s="169" t="s">
        <v>8</v>
      </c>
      <c r="C433" s="169" t="s">
        <v>7</v>
      </c>
      <c r="D433" s="169" t="s">
        <v>6</v>
      </c>
      <c r="E433" s="169" t="s">
        <v>5</v>
      </c>
      <c r="F433" s="169" t="s">
        <v>4</v>
      </c>
      <c r="G433" s="169" t="s">
        <v>3</v>
      </c>
      <c r="H433" s="169" t="s">
        <v>2</v>
      </c>
      <c r="I433" s="169" t="s">
        <v>1</v>
      </c>
      <c r="J433" s="169" t="s">
        <v>0</v>
      </c>
      <c r="K433" s="169" t="s">
        <v>1</v>
      </c>
      <c r="L433" s="169" t="s">
        <v>2</v>
      </c>
      <c r="M433" s="169" t="s">
        <v>3</v>
      </c>
      <c r="N433" s="169" t="s">
        <v>4</v>
      </c>
      <c r="O433" s="169" t="s">
        <v>5</v>
      </c>
      <c r="P433" s="169" t="s">
        <v>6</v>
      </c>
      <c r="Q433" s="169" t="s">
        <v>7</v>
      </c>
      <c r="R433" s="169" t="s">
        <v>8</v>
      </c>
      <c r="S433" s="170" t="str">
        <f>'6a-Hierarchy'!$G$4</f>
        <v>Alt.3</v>
      </c>
    </row>
    <row r="434" spans="1:19" ht="16.5" customHeight="1" thickBot="1">
      <c r="A434" s="205"/>
      <c r="B434" s="206" t="s">
        <v>8</v>
      </c>
      <c r="C434" s="206" t="s">
        <v>7</v>
      </c>
      <c r="D434" s="206" t="s">
        <v>6</v>
      </c>
      <c r="E434" s="206" t="s">
        <v>5</v>
      </c>
      <c r="F434" s="206" t="s">
        <v>4</v>
      </c>
      <c r="G434" s="206" t="s">
        <v>3</v>
      </c>
      <c r="H434" s="206" t="s">
        <v>2</v>
      </c>
      <c r="I434" s="206" t="s">
        <v>1</v>
      </c>
      <c r="J434" s="206" t="s">
        <v>0</v>
      </c>
      <c r="K434" s="206" t="s">
        <v>1</v>
      </c>
      <c r="L434" s="206" t="s">
        <v>2</v>
      </c>
      <c r="M434" s="206" t="s">
        <v>3</v>
      </c>
      <c r="N434" s="206" t="s">
        <v>4</v>
      </c>
      <c r="O434" s="206" t="s">
        <v>5</v>
      </c>
      <c r="P434" s="206" t="s">
        <v>6</v>
      </c>
      <c r="Q434" s="206" t="s">
        <v>7</v>
      </c>
      <c r="R434" s="206" t="s">
        <v>8</v>
      </c>
      <c r="S434" s="207" t="e">
        <f>'6a-Hierarchy'!#REF!</f>
        <v>#REF!</v>
      </c>
    </row>
    <row r="435" spans="1:19" ht="16.5" customHeight="1" thickBot="1">
      <c r="A435" s="213" t="str">
        <f>'6a-Hierarchy'!$G$4</f>
        <v>Alt.3</v>
      </c>
      <c r="B435" s="222" t="s">
        <v>8</v>
      </c>
      <c r="C435" s="222" t="s">
        <v>7</v>
      </c>
      <c r="D435" s="222" t="s">
        <v>6</v>
      </c>
      <c r="E435" s="222" t="s">
        <v>5</v>
      </c>
      <c r="F435" s="222" t="s">
        <v>4</v>
      </c>
      <c r="G435" s="222" t="s">
        <v>3</v>
      </c>
      <c r="H435" s="222" t="s">
        <v>2</v>
      </c>
      <c r="I435" s="222" t="s">
        <v>1</v>
      </c>
      <c r="J435" s="222" t="s">
        <v>0</v>
      </c>
      <c r="K435" s="222" t="s">
        <v>1</v>
      </c>
      <c r="L435" s="222" t="s">
        <v>2</v>
      </c>
      <c r="M435" s="222" t="s">
        <v>3</v>
      </c>
      <c r="N435" s="222" t="s">
        <v>4</v>
      </c>
      <c r="O435" s="222" t="s">
        <v>5</v>
      </c>
      <c r="P435" s="222" t="s">
        <v>6</v>
      </c>
      <c r="Q435" s="222" t="s">
        <v>7</v>
      </c>
      <c r="R435" s="222" t="s">
        <v>8</v>
      </c>
      <c r="S435" s="214" t="e">
        <f>'6a-Hierarchy'!#REF!</f>
        <v>#REF!</v>
      </c>
    </row>
    <row r="436" spans="1:19" ht="7.5" customHeight="1" thickBot="1">
      <c r="A436" s="215"/>
      <c r="B436" s="216"/>
      <c r="C436" s="216"/>
      <c r="D436" s="216"/>
      <c r="E436" s="216"/>
      <c r="F436" s="216"/>
      <c r="G436" s="216"/>
      <c r="H436" s="216"/>
      <c r="I436" s="216"/>
      <c r="J436" s="216"/>
      <c r="K436" s="216"/>
      <c r="L436" s="216"/>
      <c r="M436" s="216"/>
      <c r="N436" s="216"/>
      <c r="O436" s="216"/>
      <c r="P436" s="216"/>
      <c r="Q436" s="216"/>
      <c r="R436" s="216"/>
      <c r="S436" s="215"/>
    </row>
    <row r="437" spans="1:19" ht="18.75" customHeight="1" thickBot="1">
      <c r="A437" s="217"/>
      <c r="B437" s="218"/>
      <c r="C437" s="218"/>
      <c r="D437" s="218"/>
      <c r="E437" s="218"/>
      <c r="F437" s="218"/>
      <c r="G437" s="219"/>
      <c r="H437" s="219"/>
      <c r="I437" s="220">
        <f>'1b-Sub-Performance'!A31</f>
        <v>0</v>
      </c>
      <c r="J437" s="219" t="s">
        <v>14</v>
      </c>
      <c r="K437" s="219" t="s">
        <v>16</v>
      </c>
      <c r="L437" s="219"/>
      <c r="M437" s="219"/>
      <c r="N437" s="218"/>
      <c r="O437" s="218"/>
      <c r="P437" s="218"/>
      <c r="Q437" s="218"/>
      <c r="R437" s="218"/>
      <c r="S437" s="221"/>
    </row>
    <row r="438" spans="1:19" ht="33.75" customHeight="1" thickBot="1">
      <c r="A438" s="231" t="s">
        <v>227</v>
      </c>
      <c r="B438" s="232" t="s">
        <v>222</v>
      </c>
      <c r="C438" s="233"/>
      <c r="D438" s="232" t="s">
        <v>223</v>
      </c>
      <c r="E438" s="233"/>
      <c r="F438" s="232" t="s">
        <v>224</v>
      </c>
      <c r="G438" s="233"/>
      <c r="H438" s="232" t="s">
        <v>225</v>
      </c>
      <c r="I438" s="233"/>
      <c r="J438" s="232" t="s">
        <v>226</v>
      </c>
      <c r="K438" s="233"/>
      <c r="L438" s="232" t="s">
        <v>225</v>
      </c>
      <c r="M438" s="233"/>
      <c r="N438" s="232" t="s">
        <v>224</v>
      </c>
      <c r="O438" s="233"/>
      <c r="P438" s="232" t="s">
        <v>223</v>
      </c>
      <c r="Q438" s="233"/>
      <c r="R438" s="232" t="s">
        <v>222</v>
      </c>
      <c r="S438" s="234" t="s">
        <v>227</v>
      </c>
    </row>
    <row r="439" spans="1:19" ht="17.100000000000001" customHeight="1">
      <c r="A439" s="201" t="str">
        <f>'6a-Hierarchy'!$D$4</f>
        <v>Original</v>
      </c>
      <c r="B439" s="169" t="s">
        <v>8</v>
      </c>
      <c r="C439" s="169" t="s">
        <v>7</v>
      </c>
      <c r="D439" s="169" t="s">
        <v>6</v>
      </c>
      <c r="E439" s="169" t="s">
        <v>5</v>
      </c>
      <c r="F439" s="169" t="s">
        <v>4</v>
      </c>
      <c r="G439" s="169" t="s">
        <v>3</v>
      </c>
      <c r="H439" s="169" t="s">
        <v>2</v>
      </c>
      <c r="I439" s="169" t="s">
        <v>1</v>
      </c>
      <c r="J439" s="169" t="s">
        <v>0</v>
      </c>
      <c r="K439" s="169" t="s">
        <v>1</v>
      </c>
      <c r="L439" s="169" t="s">
        <v>2</v>
      </c>
      <c r="M439" s="169" t="s">
        <v>3</v>
      </c>
      <c r="N439" s="169" t="s">
        <v>4</v>
      </c>
      <c r="O439" s="169" t="s">
        <v>5</v>
      </c>
      <c r="P439" s="169" t="s">
        <v>6</v>
      </c>
      <c r="Q439" s="169" t="s">
        <v>7</v>
      </c>
      <c r="R439" s="169" t="s">
        <v>8</v>
      </c>
      <c r="S439" s="170" t="str">
        <f>'6a-Hierarchy'!$E$4</f>
        <v>Alt.1</v>
      </c>
    </row>
    <row r="440" spans="1:19" ht="16.5" customHeight="1">
      <c r="A440" s="202"/>
      <c r="B440" s="46" t="s">
        <v>8</v>
      </c>
      <c r="C440" s="46" t="s">
        <v>7</v>
      </c>
      <c r="D440" s="46" t="s">
        <v>6</v>
      </c>
      <c r="E440" s="46" t="s">
        <v>5</v>
      </c>
      <c r="F440" s="46" t="s">
        <v>4</v>
      </c>
      <c r="G440" s="46" t="s">
        <v>3</v>
      </c>
      <c r="H440" s="46" t="s">
        <v>2</v>
      </c>
      <c r="I440" s="46" t="s">
        <v>1</v>
      </c>
      <c r="J440" s="46" t="s">
        <v>0</v>
      </c>
      <c r="K440" s="46" t="s">
        <v>1</v>
      </c>
      <c r="L440" s="46" t="s">
        <v>2</v>
      </c>
      <c r="M440" s="46" t="s">
        <v>3</v>
      </c>
      <c r="N440" s="46" t="s">
        <v>4</v>
      </c>
      <c r="O440" s="46" t="s">
        <v>5</v>
      </c>
      <c r="P440" s="46" t="s">
        <v>6</v>
      </c>
      <c r="Q440" s="46" t="s">
        <v>7</v>
      </c>
      <c r="R440" s="46" t="s">
        <v>8</v>
      </c>
      <c r="S440" s="203" t="str">
        <f>'6a-Hierarchy'!$F$4</f>
        <v>Alt.2</v>
      </c>
    </row>
    <row r="441" spans="1:19" ht="16.5" customHeight="1">
      <c r="A441" s="202"/>
      <c r="B441" s="46" t="s">
        <v>8</v>
      </c>
      <c r="C441" s="46" t="s">
        <v>7</v>
      </c>
      <c r="D441" s="46" t="s">
        <v>6</v>
      </c>
      <c r="E441" s="46" t="s">
        <v>5</v>
      </c>
      <c r="F441" s="46" t="s">
        <v>4</v>
      </c>
      <c r="G441" s="46" t="s">
        <v>3</v>
      </c>
      <c r="H441" s="46" t="s">
        <v>2</v>
      </c>
      <c r="I441" s="46" t="s">
        <v>1</v>
      </c>
      <c r="J441" s="46" t="s">
        <v>0</v>
      </c>
      <c r="K441" s="46" t="s">
        <v>1</v>
      </c>
      <c r="L441" s="46" t="s">
        <v>2</v>
      </c>
      <c r="M441" s="46" t="s">
        <v>3</v>
      </c>
      <c r="N441" s="46" t="s">
        <v>4</v>
      </c>
      <c r="O441" s="46" t="s">
        <v>5</v>
      </c>
      <c r="P441" s="46" t="s">
        <v>6</v>
      </c>
      <c r="Q441" s="46" t="s">
        <v>7</v>
      </c>
      <c r="R441" s="46" t="s">
        <v>8</v>
      </c>
      <c r="S441" s="203" t="str">
        <f>'6a-Hierarchy'!$G$4</f>
        <v>Alt.3</v>
      </c>
    </row>
    <row r="442" spans="1:19" ht="16.5" customHeight="1" thickBot="1">
      <c r="A442" s="205"/>
      <c r="B442" s="206" t="s">
        <v>8</v>
      </c>
      <c r="C442" s="206" t="s">
        <v>7</v>
      </c>
      <c r="D442" s="206" t="s">
        <v>6</v>
      </c>
      <c r="E442" s="206" t="s">
        <v>5</v>
      </c>
      <c r="F442" s="206" t="s">
        <v>4</v>
      </c>
      <c r="G442" s="206" t="s">
        <v>3</v>
      </c>
      <c r="H442" s="206" t="s">
        <v>2</v>
      </c>
      <c r="I442" s="206" t="s">
        <v>1</v>
      </c>
      <c r="J442" s="206" t="s">
        <v>0</v>
      </c>
      <c r="K442" s="206" t="s">
        <v>1</v>
      </c>
      <c r="L442" s="206" t="s">
        <v>2</v>
      </c>
      <c r="M442" s="206" t="s">
        <v>3</v>
      </c>
      <c r="N442" s="206" t="s">
        <v>4</v>
      </c>
      <c r="O442" s="206" t="s">
        <v>5</v>
      </c>
      <c r="P442" s="206" t="s">
        <v>6</v>
      </c>
      <c r="Q442" s="206" t="s">
        <v>7</v>
      </c>
      <c r="R442" s="206" t="s">
        <v>8</v>
      </c>
      <c r="S442" s="207" t="e">
        <f>'6a-Hierarchy'!#REF!</f>
        <v>#REF!</v>
      </c>
    </row>
    <row r="443" spans="1:19" ht="16.5" customHeight="1">
      <c r="A443" s="201" t="str">
        <f>'6a-Hierarchy'!$E$4</f>
        <v>Alt.1</v>
      </c>
      <c r="B443" s="169" t="s">
        <v>8</v>
      </c>
      <c r="C443" s="169" t="s">
        <v>7</v>
      </c>
      <c r="D443" s="169" t="s">
        <v>6</v>
      </c>
      <c r="E443" s="169" t="s">
        <v>5</v>
      </c>
      <c r="F443" s="169" t="s">
        <v>4</v>
      </c>
      <c r="G443" s="169" t="s">
        <v>3</v>
      </c>
      <c r="H443" s="169" t="s">
        <v>2</v>
      </c>
      <c r="I443" s="169" t="s">
        <v>1</v>
      </c>
      <c r="J443" s="169" t="s">
        <v>0</v>
      </c>
      <c r="K443" s="169" t="s">
        <v>1</v>
      </c>
      <c r="L443" s="169" t="s">
        <v>2</v>
      </c>
      <c r="M443" s="169" t="s">
        <v>3</v>
      </c>
      <c r="N443" s="169" t="s">
        <v>4</v>
      </c>
      <c r="O443" s="169" t="s">
        <v>5</v>
      </c>
      <c r="P443" s="169" t="s">
        <v>6</v>
      </c>
      <c r="Q443" s="169" t="s">
        <v>7</v>
      </c>
      <c r="R443" s="169" t="s">
        <v>8</v>
      </c>
      <c r="S443" s="170" t="str">
        <f>'6a-Hierarchy'!$F$4</f>
        <v>Alt.2</v>
      </c>
    </row>
    <row r="444" spans="1:19" ht="16.5" customHeight="1">
      <c r="A444" s="202"/>
      <c r="B444" s="46" t="s">
        <v>8</v>
      </c>
      <c r="C444" s="46" t="s">
        <v>7</v>
      </c>
      <c r="D444" s="46" t="s">
        <v>6</v>
      </c>
      <c r="E444" s="46" t="s">
        <v>5</v>
      </c>
      <c r="F444" s="46" t="s">
        <v>4</v>
      </c>
      <c r="G444" s="46" t="s">
        <v>3</v>
      </c>
      <c r="H444" s="46" t="s">
        <v>2</v>
      </c>
      <c r="I444" s="46" t="s">
        <v>1</v>
      </c>
      <c r="J444" s="46" t="s">
        <v>0</v>
      </c>
      <c r="K444" s="46" t="s">
        <v>1</v>
      </c>
      <c r="L444" s="46" t="s">
        <v>2</v>
      </c>
      <c r="M444" s="46" t="s">
        <v>3</v>
      </c>
      <c r="N444" s="46" t="s">
        <v>4</v>
      </c>
      <c r="O444" s="46" t="s">
        <v>5</v>
      </c>
      <c r="P444" s="46" t="s">
        <v>6</v>
      </c>
      <c r="Q444" s="46" t="s">
        <v>7</v>
      </c>
      <c r="R444" s="46" t="s">
        <v>8</v>
      </c>
      <c r="S444" s="203" t="str">
        <f>'6a-Hierarchy'!$G$4</f>
        <v>Alt.3</v>
      </c>
    </row>
    <row r="445" spans="1:19" ht="16.5" customHeight="1" thickBot="1">
      <c r="A445" s="205"/>
      <c r="B445" s="206" t="s">
        <v>8</v>
      </c>
      <c r="C445" s="206" t="s">
        <v>7</v>
      </c>
      <c r="D445" s="206" t="s">
        <v>6</v>
      </c>
      <c r="E445" s="206" t="s">
        <v>5</v>
      </c>
      <c r="F445" s="206" t="s">
        <v>4</v>
      </c>
      <c r="G445" s="206" t="s">
        <v>3</v>
      </c>
      <c r="H445" s="206" t="s">
        <v>2</v>
      </c>
      <c r="I445" s="206" t="s">
        <v>1</v>
      </c>
      <c r="J445" s="206" t="s">
        <v>0</v>
      </c>
      <c r="K445" s="206" t="s">
        <v>1</v>
      </c>
      <c r="L445" s="206" t="s">
        <v>2</v>
      </c>
      <c r="M445" s="206" t="s">
        <v>3</v>
      </c>
      <c r="N445" s="206" t="s">
        <v>4</v>
      </c>
      <c r="O445" s="206" t="s">
        <v>5</v>
      </c>
      <c r="P445" s="206" t="s">
        <v>6</v>
      </c>
      <c r="Q445" s="206" t="s">
        <v>7</v>
      </c>
      <c r="R445" s="206" t="s">
        <v>8</v>
      </c>
      <c r="S445" s="207" t="e">
        <f>'6a-Hierarchy'!#REF!</f>
        <v>#REF!</v>
      </c>
    </row>
    <row r="446" spans="1:19" ht="16.5" customHeight="1">
      <c r="A446" s="201" t="str">
        <f>'6a-Hierarchy'!$F$4</f>
        <v>Alt.2</v>
      </c>
      <c r="B446" s="169" t="s">
        <v>8</v>
      </c>
      <c r="C446" s="169" t="s">
        <v>7</v>
      </c>
      <c r="D446" s="169" t="s">
        <v>6</v>
      </c>
      <c r="E446" s="169" t="s">
        <v>5</v>
      </c>
      <c r="F446" s="169" t="s">
        <v>4</v>
      </c>
      <c r="G446" s="169" t="s">
        <v>3</v>
      </c>
      <c r="H446" s="169" t="s">
        <v>2</v>
      </c>
      <c r="I446" s="169" t="s">
        <v>1</v>
      </c>
      <c r="J446" s="169" t="s">
        <v>0</v>
      </c>
      <c r="K446" s="169" t="s">
        <v>1</v>
      </c>
      <c r="L446" s="169" t="s">
        <v>2</v>
      </c>
      <c r="M446" s="169" t="s">
        <v>3</v>
      </c>
      <c r="N446" s="169" t="s">
        <v>4</v>
      </c>
      <c r="O446" s="169" t="s">
        <v>5</v>
      </c>
      <c r="P446" s="169" t="s">
        <v>6</v>
      </c>
      <c r="Q446" s="169" t="s">
        <v>7</v>
      </c>
      <c r="R446" s="169" t="s">
        <v>8</v>
      </c>
      <c r="S446" s="170" t="str">
        <f>'6a-Hierarchy'!$G$4</f>
        <v>Alt.3</v>
      </c>
    </row>
    <row r="447" spans="1:19" ht="16.5" customHeight="1" thickBot="1">
      <c r="A447" s="205"/>
      <c r="B447" s="206" t="s">
        <v>8</v>
      </c>
      <c r="C447" s="206" t="s">
        <v>7</v>
      </c>
      <c r="D447" s="206" t="s">
        <v>6</v>
      </c>
      <c r="E447" s="206" t="s">
        <v>5</v>
      </c>
      <c r="F447" s="206" t="s">
        <v>4</v>
      </c>
      <c r="G447" s="206" t="s">
        <v>3</v>
      </c>
      <c r="H447" s="206" t="s">
        <v>2</v>
      </c>
      <c r="I447" s="206" t="s">
        <v>1</v>
      </c>
      <c r="J447" s="206" t="s">
        <v>0</v>
      </c>
      <c r="K447" s="206" t="s">
        <v>1</v>
      </c>
      <c r="L447" s="206" t="s">
        <v>2</v>
      </c>
      <c r="M447" s="206" t="s">
        <v>3</v>
      </c>
      <c r="N447" s="206" t="s">
        <v>4</v>
      </c>
      <c r="O447" s="206" t="s">
        <v>5</v>
      </c>
      <c r="P447" s="206" t="s">
        <v>6</v>
      </c>
      <c r="Q447" s="206" t="s">
        <v>7</v>
      </c>
      <c r="R447" s="206" t="s">
        <v>8</v>
      </c>
      <c r="S447" s="207" t="e">
        <f>'6a-Hierarchy'!#REF!</f>
        <v>#REF!</v>
      </c>
    </row>
    <row r="448" spans="1:19" ht="16.5" customHeight="1" thickBot="1">
      <c r="A448" s="213" t="str">
        <f>'6a-Hierarchy'!$G$4</f>
        <v>Alt.3</v>
      </c>
      <c r="B448" s="222" t="s">
        <v>8</v>
      </c>
      <c r="C448" s="222" t="s">
        <v>7</v>
      </c>
      <c r="D448" s="222" t="s">
        <v>6</v>
      </c>
      <c r="E448" s="222" t="s">
        <v>5</v>
      </c>
      <c r="F448" s="222" t="s">
        <v>4</v>
      </c>
      <c r="G448" s="222" t="s">
        <v>3</v>
      </c>
      <c r="H448" s="222" t="s">
        <v>2</v>
      </c>
      <c r="I448" s="222" t="s">
        <v>1</v>
      </c>
      <c r="J448" s="222" t="s">
        <v>0</v>
      </c>
      <c r="K448" s="222" t="s">
        <v>1</v>
      </c>
      <c r="L448" s="222" t="s">
        <v>2</v>
      </c>
      <c r="M448" s="222" t="s">
        <v>3</v>
      </c>
      <c r="N448" s="222" t="s">
        <v>4</v>
      </c>
      <c r="O448" s="222" t="s">
        <v>5</v>
      </c>
      <c r="P448" s="222" t="s">
        <v>6</v>
      </c>
      <c r="Q448" s="222" t="s">
        <v>7</v>
      </c>
      <c r="R448" s="222" t="s">
        <v>8</v>
      </c>
      <c r="S448" s="214" t="e">
        <f>'6a-Hierarchy'!#REF!</f>
        <v>#REF!</v>
      </c>
    </row>
    <row r="449" spans="1:19" ht="7.5" customHeight="1" thickBot="1">
      <c r="A449" s="215"/>
      <c r="B449" s="216"/>
      <c r="C449" s="216"/>
      <c r="D449" s="216"/>
      <c r="E449" s="216"/>
      <c r="F449" s="216"/>
      <c r="G449" s="216"/>
      <c r="H449" s="216"/>
      <c r="I449" s="216"/>
      <c r="J449" s="216"/>
      <c r="K449" s="216"/>
      <c r="L449" s="216"/>
      <c r="M449" s="216"/>
      <c r="N449" s="216"/>
      <c r="O449" s="216"/>
      <c r="P449" s="216"/>
      <c r="Q449" s="216"/>
      <c r="R449" s="216"/>
      <c r="S449" s="215"/>
    </row>
    <row r="450" spans="1:19" ht="18.75" customHeight="1" thickBot="1">
      <c r="A450" s="217"/>
      <c r="B450" s="218"/>
      <c r="C450" s="218"/>
      <c r="D450" s="218"/>
      <c r="E450" s="218"/>
      <c r="F450" s="218"/>
      <c r="G450" s="219"/>
      <c r="H450" s="219"/>
      <c r="I450" s="220">
        <f>'1b-Sub-Performance'!A32</f>
        <v>0</v>
      </c>
      <c r="J450" s="219" t="s">
        <v>14</v>
      </c>
      <c r="K450" s="219" t="s">
        <v>16</v>
      </c>
      <c r="L450" s="219"/>
      <c r="M450" s="219"/>
      <c r="N450" s="218"/>
      <c r="O450" s="218"/>
      <c r="P450" s="218"/>
      <c r="Q450" s="218"/>
      <c r="R450" s="218"/>
      <c r="S450" s="221"/>
    </row>
    <row r="451" spans="1:19" ht="33.75" customHeight="1" thickBot="1">
      <c r="A451" s="231" t="s">
        <v>227</v>
      </c>
      <c r="B451" s="232" t="s">
        <v>222</v>
      </c>
      <c r="C451" s="233"/>
      <c r="D451" s="232" t="s">
        <v>223</v>
      </c>
      <c r="E451" s="233"/>
      <c r="F451" s="232" t="s">
        <v>224</v>
      </c>
      <c r="G451" s="233"/>
      <c r="H451" s="232" t="s">
        <v>225</v>
      </c>
      <c r="I451" s="233"/>
      <c r="J451" s="232" t="s">
        <v>226</v>
      </c>
      <c r="K451" s="233"/>
      <c r="L451" s="232" t="s">
        <v>225</v>
      </c>
      <c r="M451" s="233"/>
      <c r="N451" s="232" t="s">
        <v>224</v>
      </c>
      <c r="O451" s="233"/>
      <c r="P451" s="232" t="s">
        <v>223</v>
      </c>
      <c r="Q451" s="233"/>
      <c r="R451" s="232" t="s">
        <v>222</v>
      </c>
      <c r="S451" s="234" t="s">
        <v>227</v>
      </c>
    </row>
    <row r="452" spans="1:19" ht="17.100000000000001" customHeight="1">
      <c r="A452" s="201" t="str">
        <f>'6a-Hierarchy'!$D$4</f>
        <v>Original</v>
      </c>
      <c r="B452" s="169" t="s">
        <v>8</v>
      </c>
      <c r="C452" s="169" t="s">
        <v>7</v>
      </c>
      <c r="D452" s="169" t="s">
        <v>6</v>
      </c>
      <c r="E452" s="169" t="s">
        <v>5</v>
      </c>
      <c r="F452" s="169" t="s">
        <v>4</v>
      </c>
      <c r="G452" s="169" t="s">
        <v>3</v>
      </c>
      <c r="H452" s="169" t="s">
        <v>2</v>
      </c>
      <c r="I452" s="169" t="s">
        <v>1</v>
      </c>
      <c r="J452" s="169" t="s">
        <v>0</v>
      </c>
      <c r="K452" s="169" t="s">
        <v>1</v>
      </c>
      <c r="L452" s="169" t="s">
        <v>2</v>
      </c>
      <c r="M452" s="169" t="s">
        <v>3</v>
      </c>
      <c r="N452" s="169" t="s">
        <v>4</v>
      </c>
      <c r="O452" s="169" t="s">
        <v>5</v>
      </c>
      <c r="P452" s="169" t="s">
        <v>6</v>
      </c>
      <c r="Q452" s="169" t="s">
        <v>7</v>
      </c>
      <c r="R452" s="169" t="s">
        <v>8</v>
      </c>
      <c r="S452" s="170" t="str">
        <f>'6a-Hierarchy'!$E$4</f>
        <v>Alt.1</v>
      </c>
    </row>
    <row r="453" spans="1:19" ht="16.5" customHeight="1">
      <c r="A453" s="202"/>
      <c r="B453" s="46" t="s">
        <v>8</v>
      </c>
      <c r="C453" s="46" t="s">
        <v>7</v>
      </c>
      <c r="D453" s="46" t="s">
        <v>6</v>
      </c>
      <c r="E453" s="46" t="s">
        <v>5</v>
      </c>
      <c r="F453" s="46" t="s">
        <v>4</v>
      </c>
      <c r="G453" s="46" t="s">
        <v>3</v>
      </c>
      <c r="H453" s="46" t="s">
        <v>2</v>
      </c>
      <c r="I453" s="46" t="s">
        <v>1</v>
      </c>
      <c r="J453" s="46" t="s">
        <v>0</v>
      </c>
      <c r="K453" s="46" t="s">
        <v>1</v>
      </c>
      <c r="L453" s="46" t="s">
        <v>2</v>
      </c>
      <c r="M453" s="46" t="s">
        <v>3</v>
      </c>
      <c r="N453" s="46" t="s">
        <v>4</v>
      </c>
      <c r="O453" s="46" t="s">
        <v>5</v>
      </c>
      <c r="P453" s="46" t="s">
        <v>6</v>
      </c>
      <c r="Q453" s="46" t="s">
        <v>7</v>
      </c>
      <c r="R453" s="46" t="s">
        <v>8</v>
      </c>
      <c r="S453" s="203" t="str">
        <f>'6a-Hierarchy'!$F$4</f>
        <v>Alt.2</v>
      </c>
    </row>
    <row r="454" spans="1:19" ht="16.5" customHeight="1">
      <c r="A454" s="202"/>
      <c r="B454" s="46" t="s">
        <v>8</v>
      </c>
      <c r="C454" s="46" t="s">
        <v>7</v>
      </c>
      <c r="D454" s="46" t="s">
        <v>6</v>
      </c>
      <c r="E454" s="46" t="s">
        <v>5</v>
      </c>
      <c r="F454" s="46" t="s">
        <v>4</v>
      </c>
      <c r="G454" s="46" t="s">
        <v>3</v>
      </c>
      <c r="H454" s="46" t="s">
        <v>2</v>
      </c>
      <c r="I454" s="46" t="s">
        <v>1</v>
      </c>
      <c r="J454" s="46" t="s">
        <v>0</v>
      </c>
      <c r="K454" s="46" t="s">
        <v>1</v>
      </c>
      <c r="L454" s="46" t="s">
        <v>2</v>
      </c>
      <c r="M454" s="46" t="s">
        <v>3</v>
      </c>
      <c r="N454" s="46" t="s">
        <v>4</v>
      </c>
      <c r="O454" s="46" t="s">
        <v>5</v>
      </c>
      <c r="P454" s="46" t="s">
        <v>6</v>
      </c>
      <c r="Q454" s="46" t="s">
        <v>7</v>
      </c>
      <c r="R454" s="46" t="s">
        <v>8</v>
      </c>
      <c r="S454" s="203" t="str">
        <f>'6a-Hierarchy'!$G$4</f>
        <v>Alt.3</v>
      </c>
    </row>
    <row r="455" spans="1:19" ht="16.5" customHeight="1" thickBot="1">
      <c r="A455" s="205"/>
      <c r="B455" s="206" t="s">
        <v>8</v>
      </c>
      <c r="C455" s="206" t="s">
        <v>7</v>
      </c>
      <c r="D455" s="206" t="s">
        <v>6</v>
      </c>
      <c r="E455" s="206" t="s">
        <v>5</v>
      </c>
      <c r="F455" s="206" t="s">
        <v>4</v>
      </c>
      <c r="G455" s="206" t="s">
        <v>3</v>
      </c>
      <c r="H455" s="206" t="s">
        <v>2</v>
      </c>
      <c r="I455" s="206" t="s">
        <v>1</v>
      </c>
      <c r="J455" s="206" t="s">
        <v>0</v>
      </c>
      <c r="K455" s="206" t="s">
        <v>1</v>
      </c>
      <c r="L455" s="206" t="s">
        <v>2</v>
      </c>
      <c r="M455" s="206" t="s">
        <v>3</v>
      </c>
      <c r="N455" s="206" t="s">
        <v>4</v>
      </c>
      <c r="O455" s="206" t="s">
        <v>5</v>
      </c>
      <c r="P455" s="206" t="s">
        <v>6</v>
      </c>
      <c r="Q455" s="206" t="s">
        <v>7</v>
      </c>
      <c r="R455" s="206" t="s">
        <v>8</v>
      </c>
      <c r="S455" s="207" t="e">
        <f>'6a-Hierarchy'!#REF!</f>
        <v>#REF!</v>
      </c>
    </row>
    <row r="456" spans="1:19" ht="16.5" customHeight="1">
      <c r="A456" s="201" t="str">
        <f>'6a-Hierarchy'!$E$4</f>
        <v>Alt.1</v>
      </c>
      <c r="B456" s="169" t="s">
        <v>8</v>
      </c>
      <c r="C456" s="169" t="s">
        <v>7</v>
      </c>
      <c r="D456" s="169" t="s">
        <v>6</v>
      </c>
      <c r="E456" s="169" t="s">
        <v>5</v>
      </c>
      <c r="F456" s="169" t="s">
        <v>4</v>
      </c>
      <c r="G456" s="169" t="s">
        <v>3</v>
      </c>
      <c r="H456" s="169" t="s">
        <v>2</v>
      </c>
      <c r="I456" s="169" t="s">
        <v>1</v>
      </c>
      <c r="J456" s="169" t="s">
        <v>0</v>
      </c>
      <c r="K456" s="169" t="s">
        <v>1</v>
      </c>
      <c r="L456" s="169" t="s">
        <v>2</v>
      </c>
      <c r="M456" s="169" t="s">
        <v>3</v>
      </c>
      <c r="N456" s="169" t="s">
        <v>4</v>
      </c>
      <c r="O456" s="169" t="s">
        <v>5</v>
      </c>
      <c r="P456" s="169" t="s">
        <v>6</v>
      </c>
      <c r="Q456" s="169" t="s">
        <v>7</v>
      </c>
      <c r="R456" s="169" t="s">
        <v>8</v>
      </c>
      <c r="S456" s="170" t="str">
        <f>'6a-Hierarchy'!$F$4</f>
        <v>Alt.2</v>
      </c>
    </row>
    <row r="457" spans="1:19" ht="16.5" customHeight="1">
      <c r="A457" s="202"/>
      <c r="B457" s="46" t="s">
        <v>8</v>
      </c>
      <c r="C457" s="46" t="s">
        <v>7</v>
      </c>
      <c r="D457" s="46" t="s">
        <v>6</v>
      </c>
      <c r="E457" s="46" t="s">
        <v>5</v>
      </c>
      <c r="F457" s="46" t="s">
        <v>4</v>
      </c>
      <c r="G457" s="46" t="s">
        <v>3</v>
      </c>
      <c r="H457" s="46" t="s">
        <v>2</v>
      </c>
      <c r="I457" s="46" t="s">
        <v>1</v>
      </c>
      <c r="J457" s="46" t="s">
        <v>0</v>
      </c>
      <c r="K457" s="46" t="s">
        <v>1</v>
      </c>
      <c r="L457" s="46" t="s">
        <v>2</v>
      </c>
      <c r="M457" s="46" t="s">
        <v>3</v>
      </c>
      <c r="N457" s="46" t="s">
        <v>4</v>
      </c>
      <c r="O457" s="46" t="s">
        <v>5</v>
      </c>
      <c r="P457" s="46" t="s">
        <v>6</v>
      </c>
      <c r="Q457" s="46" t="s">
        <v>7</v>
      </c>
      <c r="R457" s="46" t="s">
        <v>8</v>
      </c>
      <c r="S457" s="203" t="str">
        <f>'6a-Hierarchy'!$G$4</f>
        <v>Alt.3</v>
      </c>
    </row>
    <row r="458" spans="1:19" ht="16.5" customHeight="1" thickBot="1">
      <c r="A458" s="205"/>
      <c r="B458" s="206" t="s">
        <v>8</v>
      </c>
      <c r="C458" s="206" t="s">
        <v>7</v>
      </c>
      <c r="D458" s="206" t="s">
        <v>6</v>
      </c>
      <c r="E458" s="206" t="s">
        <v>5</v>
      </c>
      <c r="F458" s="206" t="s">
        <v>4</v>
      </c>
      <c r="G458" s="206" t="s">
        <v>3</v>
      </c>
      <c r="H458" s="206" t="s">
        <v>2</v>
      </c>
      <c r="I458" s="206" t="s">
        <v>1</v>
      </c>
      <c r="J458" s="206" t="s">
        <v>0</v>
      </c>
      <c r="K458" s="206" t="s">
        <v>1</v>
      </c>
      <c r="L458" s="206" t="s">
        <v>2</v>
      </c>
      <c r="M458" s="206" t="s">
        <v>3</v>
      </c>
      <c r="N458" s="206" t="s">
        <v>4</v>
      </c>
      <c r="O458" s="206" t="s">
        <v>5</v>
      </c>
      <c r="P458" s="206" t="s">
        <v>6</v>
      </c>
      <c r="Q458" s="206" t="s">
        <v>7</v>
      </c>
      <c r="R458" s="206" t="s">
        <v>8</v>
      </c>
      <c r="S458" s="207" t="e">
        <f>'6a-Hierarchy'!#REF!</f>
        <v>#REF!</v>
      </c>
    </row>
    <row r="459" spans="1:19" ht="16.5" customHeight="1">
      <c r="A459" s="201" t="str">
        <f>'6a-Hierarchy'!$F$4</f>
        <v>Alt.2</v>
      </c>
      <c r="B459" s="169" t="s">
        <v>8</v>
      </c>
      <c r="C459" s="169" t="s">
        <v>7</v>
      </c>
      <c r="D459" s="169" t="s">
        <v>6</v>
      </c>
      <c r="E459" s="169" t="s">
        <v>5</v>
      </c>
      <c r="F459" s="169" t="s">
        <v>4</v>
      </c>
      <c r="G459" s="169" t="s">
        <v>3</v>
      </c>
      <c r="H459" s="169" t="s">
        <v>2</v>
      </c>
      <c r="I459" s="169" t="s">
        <v>1</v>
      </c>
      <c r="J459" s="169" t="s">
        <v>0</v>
      </c>
      <c r="K459" s="169" t="s">
        <v>1</v>
      </c>
      <c r="L459" s="169" t="s">
        <v>2</v>
      </c>
      <c r="M459" s="169" t="s">
        <v>3</v>
      </c>
      <c r="N459" s="169" t="s">
        <v>4</v>
      </c>
      <c r="O459" s="169" t="s">
        <v>5</v>
      </c>
      <c r="P459" s="169" t="s">
        <v>6</v>
      </c>
      <c r="Q459" s="169" t="s">
        <v>7</v>
      </c>
      <c r="R459" s="169" t="s">
        <v>8</v>
      </c>
      <c r="S459" s="170" t="str">
        <f>'6a-Hierarchy'!$G$4</f>
        <v>Alt.3</v>
      </c>
    </row>
    <row r="460" spans="1:19" ht="16.5" customHeight="1" thickBot="1">
      <c r="A460" s="205"/>
      <c r="B460" s="206" t="s">
        <v>8</v>
      </c>
      <c r="C460" s="206" t="s">
        <v>7</v>
      </c>
      <c r="D460" s="206" t="s">
        <v>6</v>
      </c>
      <c r="E460" s="206" t="s">
        <v>5</v>
      </c>
      <c r="F460" s="206" t="s">
        <v>4</v>
      </c>
      <c r="G460" s="206" t="s">
        <v>3</v>
      </c>
      <c r="H460" s="206" t="s">
        <v>2</v>
      </c>
      <c r="I460" s="206" t="s">
        <v>1</v>
      </c>
      <c r="J460" s="206" t="s">
        <v>0</v>
      </c>
      <c r="K460" s="206" t="s">
        <v>1</v>
      </c>
      <c r="L460" s="206" t="s">
        <v>2</v>
      </c>
      <c r="M460" s="206" t="s">
        <v>3</v>
      </c>
      <c r="N460" s="206" t="s">
        <v>4</v>
      </c>
      <c r="O460" s="206" t="s">
        <v>5</v>
      </c>
      <c r="P460" s="206" t="s">
        <v>6</v>
      </c>
      <c r="Q460" s="206" t="s">
        <v>7</v>
      </c>
      <c r="R460" s="206" t="s">
        <v>8</v>
      </c>
      <c r="S460" s="207" t="e">
        <f>'6a-Hierarchy'!#REF!</f>
        <v>#REF!</v>
      </c>
    </row>
    <row r="461" spans="1:19" ht="16.5" customHeight="1" thickBot="1">
      <c r="A461" s="213" t="str">
        <f>'6a-Hierarchy'!$G$4</f>
        <v>Alt.3</v>
      </c>
      <c r="B461" s="222" t="s">
        <v>8</v>
      </c>
      <c r="C461" s="222" t="s">
        <v>7</v>
      </c>
      <c r="D461" s="222" t="s">
        <v>6</v>
      </c>
      <c r="E461" s="222" t="s">
        <v>5</v>
      </c>
      <c r="F461" s="222" t="s">
        <v>4</v>
      </c>
      <c r="G461" s="222" t="s">
        <v>3</v>
      </c>
      <c r="H461" s="222" t="s">
        <v>2</v>
      </c>
      <c r="I461" s="222" t="s">
        <v>1</v>
      </c>
      <c r="J461" s="222" t="s">
        <v>0</v>
      </c>
      <c r="K461" s="222" t="s">
        <v>1</v>
      </c>
      <c r="L461" s="222" t="s">
        <v>2</v>
      </c>
      <c r="M461" s="222" t="s">
        <v>3</v>
      </c>
      <c r="N461" s="222" t="s">
        <v>4</v>
      </c>
      <c r="O461" s="222" t="s">
        <v>5</v>
      </c>
      <c r="P461" s="222" t="s">
        <v>6</v>
      </c>
      <c r="Q461" s="222" t="s">
        <v>7</v>
      </c>
      <c r="R461" s="222" t="s">
        <v>8</v>
      </c>
      <c r="S461" s="214" t="e">
        <f>'6a-Hierarchy'!#REF!</f>
        <v>#REF!</v>
      </c>
    </row>
    <row r="462" spans="1:19" ht="7.5" customHeight="1" thickBot="1">
      <c r="A462" s="215"/>
      <c r="B462" s="216"/>
      <c r="C462" s="216"/>
      <c r="D462" s="216"/>
      <c r="E462" s="216"/>
      <c r="F462" s="216"/>
      <c r="G462" s="216"/>
      <c r="H462" s="216"/>
      <c r="I462" s="216"/>
      <c r="J462" s="216"/>
      <c r="K462" s="216"/>
      <c r="L462" s="216"/>
      <c r="M462" s="216"/>
      <c r="N462" s="216"/>
      <c r="O462" s="216"/>
      <c r="P462" s="216"/>
      <c r="Q462" s="216"/>
      <c r="R462" s="216"/>
      <c r="S462" s="215"/>
    </row>
    <row r="463" spans="1:19" ht="18.75" customHeight="1" thickBot="1">
      <c r="A463" s="217"/>
      <c r="B463" s="218"/>
      <c r="C463" s="218"/>
      <c r="D463" s="218"/>
      <c r="E463" s="218"/>
      <c r="F463" s="218"/>
      <c r="G463" s="219"/>
      <c r="H463" s="219"/>
      <c r="I463" s="220">
        <f>'1b-Sub-Performance'!A35</f>
        <v>0</v>
      </c>
      <c r="J463" s="219" t="s">
        <v>14</v>
      </c>
      <c r="K463" s="219" t="s">
        <v>16</v>
      </c>
      <c r="L463" s="219"/>
      <c r="M463" s="219"/>
      <c r="N463" s="218"/>
      <c r="O463" s="218"/>
      <c r="P463" s="218"/>
      <c r="Q463" s="218"/>
      <c r="R463" s="218"/>
      <c r="S463" s="221"/>
    </row>
    <row r="464" spans="1:19" ht="33.75" customHeight="1" thickBot="1">
      <c r="A464" s="231" t="s">
        <v>227</v>
      </c>
      <c r="B464" s="232" t="s">
        <v>222</v>
      </c>
      <c r="C464" s="233"/>
      <c r="D464" s="232" t="s">
        <v>223</v>
      </c>
      <c r="E464" s="233"/>
      <c r="F464" s="232" t="s">
        <v>224</v>
      </c>
      <c r="G464" s="233"/>
      <c r="H464" s="232" t="s">
        <v>225</v>
      </c>
      <c r="I464" s="233"/>
      <c r="J464" s="232" t="s">
        <v>226</v>
      </c>
      <c r="K464" s="233"/>
      <c r="L464" s="232" t="s">
        <v>225</v>
      </c>
      <c r="M464" s="233"/>
      <c r="N464" s="232" t="s">
        <v>224</v>
      </c>
      <c r="O464" s="233"/>
      <c r="P464" s="232" t="s">
        <v>223</v>
      </c>
      <c r="Q464" s="233"/>
      <c r="R464" s="232" t="s">
        <v>222</v>
      </c>
      <c r="S464" s="234" t="s">
        <v>227</v>
      </c>
    </row>
    <row r="465" spans="1:19" ht="17.100000000000001" customHeight="1">
      <c r="A465" s="201" t="str">
        <f>'6a-Hierarchy'!$D$4</f>
        <v>Original</v>
      </c>
      <c r="B465" s="169" t="s">
        <v>8</v>
      </c>
      <c r="C465" s="169" t="s">
        <v>7</v>
      </c>
      <c r="D465" s="169" t="s">
        <v>6</v>
      </c>
      <c r="E465" s="169" t="s">
        <v>5</v>
      </c>
      <c r="F465" s="169" t="s">
        <v>4</v>
      </c>
      <c r="G465" s="169" t="s">
        <v>3</v>
      </c>
      <c r="H465" s="169" t="s">
        <v>2</v>
      </c>
      <c r="I465" s="169" t="s">
        <v>1</v>
      </c>
      <c r="J465" s="169" t="s">
        <v>0</v>
      </c>
      <c r="K465" s="169" t="s">
        <v>1</v>
      </c>
      <c r="L465" s="169" t="s">
        <v>2</v>
      </c>
      <c r="M465" s="169" t="s">
        <v>3</v>
      </c>
      <c r="N465" s="169" t="s">
        <v>4</v>
      </c>
      <c r="O465" s="169" t="s">
        <v>5</v>
      </c>
      <c r="P465" s="169" t="s">
        <v>6</v>
      </c>
      <c r="Q465" s="169" t="s">
        <v>7</v>
      </c>
      <c r="R465" s="169" t="s">
        <v>8</v>
      </c>
      <c r="S465" s="170" t="str">
        <f>'6a-Hierarchy'!$E$4</f>
        <v>Alt.1</v>
      </c>
    </row>
    <row r="466" spans="1:19" ht="16.5" customHeight="1">
      <c r="A466" s="202"/>
      <c r="B466" s="46" t="s">
        <v>8</v>
      </c>
      <c r="C466" s="46" t="s">
        <v>7</v>
      </c>
      <c r="D466" s="46" t="s">
        <v>6</v>
      </c>
      <c r="E466" s="46" t="s">
        <v>5</v>
      </c>
      <c r="F466" s="46" t="s">
        <v>4</v>
      </c>
      <c r="G466" s="46" t="s">
        <v>3</v>
      </c>
      <c r="H466" s="46" t="s">
        <v>2</v>
      </c>
      <c r="I466" s="46" t="s">
        <v>1</v>
      </c>
      <c r="J466" s="46" t="s">
        <v>0</v>
      </c>
      <c r="K466" s="46" t="s">
        <v>1</v>
      </c>
      <c r="L466" s="46" t="s">
        <v>2</v>
      </c>
      <c r="M466" s="46" t="s">
        <v>3</v>
      </c>
      <c r="N466" s="46" t="s">
        <v>4</v>
      </c>
      <c r="O466" s="46" t="s">
        <v>5</v>
      </c>
      <c r="P466" s="46" t="s">
        <v>6</v>
      </c>
      <c r="Q466" s="46" t="s">
        <v>7</v>
      </c>
      <c r="R466" s="46" t="s">
        <v>8</v>
      </c>
      <c r="S466" s="203" t="str">
        <f>'6a-Hierarchy'!$F$4</f>
        <v>Alt.2</v>
      </c>
    </row>
    <row r="467" spans="1:19" ht="16.5" customHeight="1">
      <c r="A467" s="202"/>
      <c r="B467" s="46" t="s">
        <v>8</v>
      </c>
      <c r="C467" s="46" t="s">
        <v>7</v>
      </c>
      <c r="D467" s="46" t="s">
        <v>6</v>
      </c>
      <c r="E467" s="46" t="s">
        <v>5</v>
      </c>
      <c r="F467" s="46" t="s">
        <v>4</v>
      </c>
      <c r="G467" s="46" t="s">
        <v>3</v>
      </c>
      <c r="H467" s="46" t="s">
        <v>2</v>
      </c>
      <c r="I467" s="46" t="s">
        <v>1</v>
      </c>
      <c r="J467" s="46" t="s">
        <v>0</v>
      </c>
      <c r="K467" s="46" t="s">
        <v>1</v>
      </c>
      <c r="L467" s="46" t="s">
        <v>2</v>
      </c>
      <c r="M467" s="46" t="s">
        <v>3</v>
      </c>
      <c r="N467" s="46" t="s">
        <v>4</v>
      </c>
      <c r="O467" s="46" t="s">
        <v>5</v>
      </c>
      <c r="P467" s="46" t="s">
        <v>6</v>
      </c>
      <c r="Q467" s="46" t="s">
        <v>7</v>
      </c>
      <c r="R467" s="46" t="s">
        <v>8</v>
      </c>
      <c r="S467" s="203" t="str">
        <f>'6a-Hierarchy'!$G$4</f>
        <v>Alt.3</v>
      </c>
    </row>
    <row r="468" spans="1:19" ht="16.5" customHeight="1" thickBot="1">
      <c r="A468" s="205"/>
      <c r="B468" s="206" t="s">
        <v>8</v>
      </c>
      <c r="C468" s="206" t="s">
        <v>7</v>
      </c>
      <c r="D468" s="206" t="s">
        <v>6</v>
      </c>
      <c r="E468" s="206" t="s">
        <v>5</v>
      </c>
      <c r="F468" s="206" t="s">
        <v>4</v>
      </c>
      <c r="G468" s="206" t="s">
        <v>3</v>
      </c>
      <c r="H468" s="206" t="s">
        <v>2</v>
      </c>
      <c r="I468" s="206" t="s">
        <v>1</v>
      </c>
      <c r="J468" s="206" t="s">
        <v>0</v>
      </c>
      <c r="K468" s="206" t="s">
        <v>1</v>
      </c>
      <c r="L468" s="206" t="s">
        <v>2</v>
      </c>
      <c r="M468" s="206" t="s">
        <v>3</v>
      </c>
      <c r="N468" s="206" t="s">
        <v>4</v>
      </c>
      <c r="O468" s="206" t="s">
        <v>5</v>
      </c>
      <c r="P468" s="206" t="s">
        <v>6</v>
      </c>
      <c r="Q468" s="206" t="s">
        <v>7</v>
      </c>
      <c r="R468" s="206" t="s">
        <v>8</v>
      </c>
      <c r="S468" s="207" t="e">
        <f>'6a-Hierarchy'!#REF!</f>
        <v>#REF!</v>
      </c>
    </row>
    <row r="469" spans="1:19" ht="16.5" customHeight="1">
      <c r="A469" s="201" t="str">
        <f>'6a-Hierarchy'!$E$4</f>
        <v>Alt.1</v>
      </c>
      <c r="B469" s="169" t="s">
        <v>8</v>
      </c>
      <c r="C469" s="169" t="s">
        <v>7</v>
      </c>
      <c r="D469" s="169" t="s">
        <v>6</v>
      </c>
      <c r="E469" s="169" t="s">
        <v>5</v>
      </c>
      <c r="F469" s="169" t="s">
        <v>4</v>
      </c>
      <c r="G469" s="169" t="s">
        <v>3</v>
      </c>
      <c r="H469" s="169" t="s">
        <v>2</v>
      </c>
      <c r="I469" s="169" t="s">
        <v>1</v>
      </c>
      <c r="J469" s="169" t="s">
        <v>0</v>
      </c>
      <c r="K469" s="169" t="s">
        <v>1</v>
      </c>
      <c r="L469" s="169" t="s">
        <v>2</v>
      </c>
      <c r="M469" s="169" t="s">
        <v>3</v>
      </c>
      <c r="N469" s="169" t="s">
        <v>4</v>
      </c>
      <c r="O469" s="169" t="s">
        <v>5</v>
      </c>
      <c r="P469" s="169" t="s">
        <v>6</v>
      </c>
      <c r="Q469" s="169" t="s">
        <v>7</v>
      </c>
      <c r="R469" s="169" t="s">
        <v>8</v>
      </c>
      <c r="S469" s="170" t="str">
        <f>'6a-Hierarchy'!$F$4</f>
        <v>Alt.2</v>
      </c>
    </row>
    <row r="470" spans="1:19" ht="16.5" customHeight="1">
      <c r="A470" s="202"/>
      <c r="B470" s="46" t="s">
        <v>8</v>
      </c>
      <c r="C470" s="46" t="s">
        <v>7</v>
      </c>
      <c r="D470" s="46" t="s">
        <v>6</v>
      </c>
      <c r="E470" s="46" t="s">
        <v>5</v>
      </c>
      <c r="F470" s="46" t="s">
        <v>4</v>
      </c>
      <c r="G470" s="46" t="s">
        <v>3</v>
      </c>
      <c r="H470" s="46" t="s">
        <v>2</v>
      </c>
      <c r="I470" s="46" t="s">
        <v>1</v>
      </c>
      <c r="J470" s="46" t="s">
        <v>0</v>
      </c>
      <c r="K470" s="46" t="s">
        <v>1</v>
      </c>
      <c r="L470" s="46" t="s">
        <v>2</v>
      </c>
      <c r="M470" s="46" t="s">
        <v>3</v>
      </c>
      <c r="N470" s="46" t="s">
        <v>4</v>
      </c>
      <c r="O470" s="46" t="s">
        <v>5</v>
      </c>
      <c r="P470" s="46" t="s">
        <v>6</v>
      </c>
      <c r="Q470" s="46" t="s">
        <v>7</v>
      </c>
      <c r="R470" s="46" t="s">
        <v>8</v>
      </c>
      <c r="S470" s="203" t="str">
        <f>'6a-Hierarchy'!$G$4</f>
        <v>Alt.3</v>
      </c>
    </row>
    <row r="471" spans="1:19" ht="16.5" customHeight="1" thickBot="1">
      <c r="A471" s="205"/>
      <c r="B471" s="206" t="s">
        <v>8</v>
      </c>
      <c r="C471" s="206" t="s">
        <v>7</v>
      </c>
      <c r="D471" s="206" t="s">
        <v>6</v>
      </c>
      <c r="E471" s="206" t="s">
        <v>5</v>
      </c>
      <c r="F471" s="206" t="s">
        <v>4</v>
      </c>
      <c r="G471" s="206" t="s">
        <v>3</v>
      </c>
      <c r="H471" s="206" t="s">
        <v>2</v>
      </c>
      <c r="I471" s="206" t="s">
        <v>1</v>
      </c>
      <c r="J471" s="206" t="s">
        <v>0</v>
      </c>
      <c r="K471" s="206" t="s">
        <v>1</v>
      </c>
      <c r="L471" s="206" t="s">
        <v>2</v>
      </c>
      <c r="M471" s="206" t="s">
        <v>3</v>
      </c>
      <c r="N471" s="206" t="s">
        <v>4</v>
      </c>
      <c r="O471" s="206" t="s">
        <v>5</v>
      </c>
      <c r="P471" s="206" t="s">
        <v>6</v>
      </c>
      <c r="Q471" s="206" t="s">
        <v>7</v>
      </c>
      <c r="R471" s="206" t="s">
        <v>8</v>
      </c>
      <c r="S471" s="207" t="e">
        <f>'6a-Hierarchy'!#REF!</f>
        <v>#REF!</v>
      </c>
    </row>
    <row r="472" spans="1:19" ht="16.5" customHeight="1">
      <c r="A472" s="201" t="str">
        <f>'6a-Hierarchy'!$F$4</f>
        <v>Alt.2</v>
      </c>
      <c r="B472" s="169" t="s">
        <v>8</v>
      </c>
      <c r="C472" s="169" t="s">
        <v>7</v>
      </c>
      <c r="D472" s="169" t="s">
        <v>6</v>
      </c>
      <c r="E472" s="169" t="s">
        <v>5</v>
      </c>
      <c r="F472" s="169" t="s">
        <v>4</v>
      </c>
      <c r="G472" s="169" t="s">
        <v>3</v>
      </c>
      <c r="H472" s="169" t="s">
        <v>2</v>
      </c>
      <c r="I472" s="169" t="s">
        <v>1</v>
      </c>
      <c r="J472" s="169" t="s">
        <v>0</v>
      </c>
      <c r="K472" s="169" t="s">
        <v>1</v>
      </c>
      <c r="L472" s="169" t="s">
        <v>2</v>
      </c>
      <c r="M472" s="169" t="s">
        <v>3</v>
      </c>
      <c r="N472" s="169" t="s">
        <v>4</v>
      </c>
      <c r="O472" s="169" t="s">
        <v>5</v>
      </c>
      <c r="P472" s="169" t="s">
        <v>6</v>
      </c>
      <c r="Q472" s="169" t="s">
        <v>7</v>
      </c>
      <c r="R472" s="169" t="s">
        <v>8</v>
      </c>
      <c r="S472" s="170" t="str">
        <f>'6a-Hierarchy'!$G$4</f>
        <v>Alt.3</v>
      </c>
    </row>
    <row r="473" spans="1:19" ht="16.5" customHeight="1" thickBot="1">
      <c r="A473" s="205"/>
      <c r="B473" s="206" t="s">
        <v>8</v>
      </c>
      <c r="C473" s="206" t="s">
        <v>7</v>
      </c>
      <c r="D473" s="206" t="s">
        <v>6</v>
      </c>
      <c r="E473" s="206" t="s">
        <v>5</v>
      </c>
      <c r="F473" s="206" t="s">
        <v>4</v>
      </c>
      <c r="G473" s="206" t="s">
        <v>3</v>
      </c>
      <c r="H473" s="206" t="s">
        <v>2</v>
      </c>
      <c r="I473" s="206" t="s">
        <v>1</v>
      </c>
      <c r="J473" s="206" t="s">
        <v>0</v>
      </c>
      <c r="K473" s="206" t="s">
        <v>1</v>
      </c>
      <c r="L473" s="206" t="s">
        <v>2</v>
      </c>
      <c r="M473" s="206" t="s">
        <v>3</v>
      </c>
      <c r="N473" s="206" t="s">
        <v>4</v>
      </c>
      <c r="O473" s="206" t="s">
        <v>5</v>
      </c>
      <c r="P473" s="206" t="s">
        <v>6</v>
      </c>
      <c r="Q473" s="206" t="s">
        <v>7</v>
      </c>
      <c r="R473" s="206" t="s">
        <v>8</v>
      </c>
      <c r="S473" s="207" t="e">
        <f>'6a-Hierarchy'!#REF!</f>
        <v>#REF!</v>
      </c>
    </row>
    <row r="474" spans="1:19" ht="16.5" customHeight="1" thickBot="1">
      <c r="A474" s="213" t="str">
        <f>'6a-Hierarchy'!$G$4</f>
        <v>Alt.3</v>
      </c>
      <c r="B474" s="222" t="s">
        <v>8</v>
      </c>
      <c r="C474" s="222" t="s">
        <v>7</v>
      </c>
      <c r="D474" s="222" t="s">
        <v>6</v>
      </c>
      <c r="E474" s="222" t="s">
        <v>5</v>
      </c>
      <c r="F474" s="222" t="s">
        <v>4</v>
      </c>
      <c r="G474" s="222" t="s">
        <v>3</v>
      </c>
      <c r="H474" s="222" t="s">
        <v>2</v>
      </c>
      <c r="I474" s="222" t="s">
        <v>1</v>
      </c>
      <c r="J474" s="222" t="s">
        <v>0</v>
      </c>
      <c r="K474" s="222" t="s">
        <v>1</v>
      </c>
      <c r="L474" s="222" t="s">
        <v>2</v>
      </c>
      <c r="M474" s="222" t="s">
        <v>3</v>
      </c>
      <c r="N474" s="222" t="s">
        <v>4</v>
      </c>
      <c r="O474" s="222" t="s">
        <v>5</v>
      </c>
      <c r="P474" s="222" t="s">
        <v>6</v>
      </c>
      <c r="Q474" s="222" t="s">
        <v>7</v>
      </c>
      <c r="R474" s="222" t="s">
        <v>8</v>
      </c>
      <c r="S474" s="214" t="e">
        <f>'6a-Hierarchy'!#REF!</f>
        <v>#REF!</v>
      </c>
    </row>
    <row r="475" spans="1:19" ht="7.5" customHeight="1" thickBot="1">
      <c r="A475" s="215"/>
      <c r="B475" s="216"/>
      <c r="C475" s="216"/>
      <c r="D475" s="216"/>
      <c r="E475" s="216"/>
      <c r="F475" s="216"/>
      <c r="G475" s="216"/>
      <c r="H475" s="216"/>
      <c r="I475" s="216"/>
      <c r="J475" s="216"/>
      <c r="K475" s="216"/>
      <c r="L475" s="216"/>
      <c r="M475" s="216"/>
      <c r="N475" s="216"/>
      <c r="O475" s="216"/>
      <c r="P475" s="216"/>
      <c r="Q475" s="216"/>
      <c r="R475" s="216"/>
      <c r="S475" s="215"/>
    </row>
    <row r="476" spans="1:19" ht="18.75" customHeight="1" thickBot="1">
      <c r="A476" s="217"/>
      <c r="B476" s="218"/>
      <c r="C476" s="218"/>
      <c r="D476" s="218"/>
      <c r="E476" s="218"/>
      <c r="F476" s="218"/>
      <c r="G476" s="219"/>
      <c r="H476" s="219"/>
      <c r="I476" s="220">
        <f>'1b-Sub-Performance'!A36</f>
        <v>0</v>
      </c>
      <c r="J476" s="219" t="s">
        <v>14</v>
      </c>
      <c r="K476" s="219" t="s">
        <v>16</v>
      </c>
      <c r="L476" s="219"/>
      <c r="M476" s="219"/>
      <c r="N476" s="218"/>
      <c r="O476" s="218"/>
      <c r="P476" s="218"/>
      <c r="Q476" s="218"/>
      <c r="R476" s="218"/>
      <c r="S476" s="221"/>
    </row>
    <row r="477" spans="1:19" ht="33.75" customHeight="1" thickBot="1">
      <c r="A477" s="231" t="s">
        <v>227</v>
      </c>
      <c r="B477" s="232" t="s">
        <v>222</v>
      </c>
      <c r="C477" s="233"/>
      <c r="D477" s="232" t="s">
        <v>223</v>
      </c>
      <c r="E477" s="233"/>
      <c r="F477" s="232" t="s">
        <v>224</v>
      </c>
      <c r="G477" s="233"/>
      <c r="H477" s="232" t="s">
        <v>225</v>
      </c>
      <c r="I477" s="233"/>
      <c r="J477" s="232" t="s">
        <v>226</v>
      </c>
      <c r="K477" s="233"/>
      <c r="L477" s="232" t="s">
        <v>225</v>
      </c>
      <c r="M477" s="233"/>
      <c r="N477" s="232" t="s">
        <v>224</v>
      </c>
      <c r="O477" s="233"/>
      <c r="P477" s="232" t="s">
        <v>223</v>
      </c>
      <c r="Q477" s="233"/>
      <c r="R477" s="232" t="s">
        <v>222</v>
      </c>
      <c r="S477" s="234" t="s">
        <v>227</v>
      </c>
    </row>
    <row r="478" spans="1:19" ht="17.100000000000001" customHeight="1">
      <c r="A478" s="201" t="str">
        <f>'6a-Hierarchy'!$D$4</f>
        <v>Original</v>
      </c>
      <c r="B478" s="169" t="s">
        <v>8</v>
      </c>
      <c r="C478" s="169" t="s">
        <v>7</v>
      </c>
      <c r="D478" s="169" t="s">
        <v>6</v>
      </c>
      <c r="E478" s="169" t="s">
        <v>5</v>
      </c>
      <c r="F478" s="169" t="s">
        <v>4</v>
      </c>
      <c r="G478" s="169" t="s">
        <v>3</v>
      </c>
      <c r="H478" s="169" t="s">
        <v>2</v>
      </c>
      <c r="I478" s="169" t="s">
        <v>1</v>
      </c>
      <c r="J478" s="169" t="s">
        <v>0</v>
      </c>
      <c r="K478" s="169" t="s">
        <v>1</v>
      </c>
      <c r="L478" s="169" t="s">
        <v>2</v>
      </c>
      <c r="M478" s="169" t="s">
        <v>3</v>
      </c>
      <c r="N478" s="169" t="s">
        <v>4</v>
      </c>
      <c r="O478" s="169" t="s">
        <v>5</v>
      </c>
      <c r="P478" s="169" t="s">
        <v>6</v>
      </c>
      <c r="Q478" s="169" t="s">
        <v>7</v>
      </c>
      <c r="R478" s="169" t="s">
        <v>8</v>
      </c>
      <c r="S478" s="170" t="str">
        <f>'6a-Hierarchy'!$E$4</f>
        <v>Alt.1</v>
      </c>
    </row>
    <row r="479" spans="1:19" ht="16.5" customHeight="1">
      <c r="A479" s="202"/>
      <c r="B479" s="46" t="s">
        <v>8</v>
      </c>
      <c r="C479" s="46" t="s">
        <v>7</v>
      </c>
      <c r="D479" s="46" t="s">
        <v>6</v>
      </c>
      <c r="E479" s="46" t="s">
        <v>5</v>
      </c>
      <c r="F479" s="46" t="s">
        <v>4</v>
      </c>
      <c r="G479" s="46" t="s">
        <v>3</v>
      </c>
      <c r="H479" s="46" t="s">
        <v>2</v>
      </c>
      <c r="I479" s="46" t="s">
        <v>1</v>
      </c>
      <c r="J479" s="46" t="s">
        <v>0</v>
      </c>
      <c r="K479" s="46" t="s">
        <v>1</v>
      </c>
      <c r="L479" s="46" t="s">
        <v>2</v>
      </c>
      <c r="M479" s="46" t="s">
        <v>3</v>
      </c>
      <c r="N479" s="46" t="s">
        <v>4</v>
      </c>
      <c r="O479" s="46" t="s">
        <v>5</v>
      </c>
      <c r="P479" s="46" t="s">
        <v>6</v>
      </c>
      <c r="Q479" s="46" t="s">
        <v>7</v>
      </c>
      <c r="R479" s="46" t="s">
        <v>8</v>
      </c>
      <c r="S479" s="203" t="str">
        <f>'6a-Hierarchy'!$F$4</f>
        <v>Alt.2</v>
      </c>
    </row>
    <row r="480" spans="1:19" ht="16.5" customHeight="1">
      <c r="A480" s="202"/>
      <c r="B480" s="46" t="s">
        <v>8</v>
      </c>
      <c r="C480" s="46" t="s">
        <v>7</v>
      </c>
      <c r="D480" s="46" t="s">
        <v>6</v>
      </c>
      <c r="E480" s="46" t="s">
        <v>5</v>
      </c>
      <c r="F480" s="46" t="s">
        <v>4</v>
      </c>
      <c r="G480" s="46" t="s">
        <v>3</v>
      </c>
      <c r="H480" s="46" t="s">
        <v>2</v>
      </c>
      <c r="I480" s="46" t="s">
        <v>1</v>
      </c>
      <c r="J480" s="46" t="s">
        <v>0</v>
      </c>
      <c r="K480" s="46" t="s">
        <v>1</v>
      </c>
      <c r="L480" s="46" t="s">
        <v>2</v>
      </c>
      <c r="M480" s="46" t="s">
        <v>3</v>
      </c>
      <c r="N480" s="46" t="s">
        <v>4</v>
      </c>
      <c r="O480" s="46" t="s">
        <v>5</v>
      </c>
      <c r="P480" s="46" t="s">
        <v>6</v>
      </c>
      <c r="Q480" s="46" t="s">
        <v>7</v>
      </c>
      <c r="R480" s="46" t="s">
        <v>8</v>
      </c>
      <c r="S480" s="203" t="str">
        <f>'6a-Hierarchy'!$G$4</f>
        <v>Alt.3</v>
      </c>
    </row>
    <row r="481" spans="1:19" ht="16.5" customHeight="1" thickBot="1">
      <c r="A481" s="205"/>
      <c r="B481" s="206" t="s">
        <v>8</v>
      </c>
      <c r="C481" s="206" t="s">
        <v>7</v>
      </c>
      <c r="D481" s="206" t="s">
        <v>6</v>
      </c>
      <c r="E481" s="206" t="s">
        <v>5</v>
      </c>
      <c r="F481" s="206" t="s">
        <v>4</v>
      </c>
      <c r="G481" s="206" t="s">
        <v>3</v>
      </c>
      <c r="H481" s="206" t="s">
        <v>2</v>
      </c>
      <c r="I481" s="206" t="s">
        <v>1</v>
      </c>
      <c r="J481" s="206" t="s">
        <v>0</v>
      </c>
      <c r="K481" s="206" t="s">
        <v>1</v>
      </c>
      <c r="L481" s="206" t="s">
        <v>2</v>
      </c>
      <c r="M481" s="206" t="s">
        <v>3</v>
      </c>
      <c r="N481" s="206" t="s">
        <v>4</v>
      </c>
      <c r="O481" s="206" t="s">
        <v>5</v>
      </c>
      <c r="P481" s="206" t="s">
        <v>6</v>
      </c>
      <c r="Q481" s="206" t="s">
        <v>7</v>
      </c>
      <c r="R481" s="206" t="s">
        <v>8</v>
      </c>
      <c r="S481" s="207" t="e">
        <f>'6a-Hierarchy'!#REF!</f>
        <v>#REF!</v>
      </c>
    </row>
    <row r="482" spans="1:19" ht="16.5" customHeight="1">
      <c r="A482" s="201" t="str">
        <f>'6a-Hierarchy'!$E$4</f>
        <v>Alt.1</v>
      </c>
      <c r="B482" s="169" t="s">
        <v>8</v>
      </c>
      <c r="C482" s="169" t="s">
        <v>7</v>
      </c>
      <c r="D482" s="169" t="s">
        <v>6</v>
      </c>
      <c r="E482" s="169" t="s">
        <v>5</v>
      </c>
      <c r="F482" s="169" t="s">
        <v>4</v>
      </c>
      <c r="G482" s="169" t="s">
        <v>3</v>
      </c>
      <c r="H482" s="169" t="s">
        <v>2</v>
      </c>
      <c r="I482" s="169" t="s">
        <v>1</v>
      </c>
      <c r="J482" s="169" t="s">
        <v>0</v>
      </c>
      <c r="K482" s="169" t="s">
        <v>1</v>
      </c>
      <c r="L482" s="169" t="s">
        <v>2</v>
      </c>
      <c r="M482" s="169" t="s">
        <v>3</v>
      </c>
      <c r="N482" s="169" t="s">
        <v>4</v>
      </c>
      <c r="O482" s="169" t="s">
        <v>5</v>
      </c>
      <c r="P482" s="169" t="s">
        <v>6</v>
      </c>
      <c r="Q482" s="169" t="s">
        <v>7</v>
      </c>
      <c r="R482" s="169" t="s">
        <v>8</v>
      </c>
      <c r="S482" s="170" t="str">
        <f>'6a-Hierarchy'!$F$4</f>
        <v>Alt.2</v>
      </c>
    </row>
    <row r="483" spans="1:19" ht="16.5" customHeight="1">
      <c r="A483" s="202"/>
      <c r="B483" s="46" t="s">
        <v>8</v>
      </c>
      <c r="C483" s="46" t="s">
        <v>7</v>
      </c>
      <c r="D483" s="46" t="s">
        <v>6</v>
      </c>
      <c r="E483" s="46" t="s">
        <v>5</v>
      </c>
      <c r="F483" s="46" t="s">
        <v>4</v>
      </c>
      <c r="G483" s="46" t="s">
        <v>3</v>
      </c>
      <c r="H483" s="46" t="s">
        <v>2</v>
      </c>
      <c r="I483" s="46" t="s">
        <v>1</v>
      </c>
      <c r="J483" s="46" t="s">
        <v>0</v>
      </c>
      <c r="K483" s="46" t="s">
        <v>1</v>
      </c>
      <c r="L483" s="46" t="s">
        <v>2</v>
      </c>
      <c r="M483" s="46" t="s">
        <v>3</v>
      </c>
      <c r="N483" s="46" t="s">
        <v>4</v>
      </c>
      <c r="O483" s="46" t="s">
        <v>5</v>
      </c>
      <c r="P483" s="46" t="s">
        <v>6</v>
      </c>
      <c r="Q483" s="46" t="s">
        <v>7</v>
      </c>
      <c r="R483" s="46" t="s">
        <v>8</v>
      </c>
      <c r="S483" s="203" t="str">
        <f>'6a-Hierarchy'!$G$4</f>
        <v>Alt.3</v>
      </c>
    </row>
    <row r="484" spans="1:19" ht="16.5" customHeight="1" thickBot="1">
      <c r="A484" s="205"/>
      <c r="B484" s="206" t="s">
        <v>8</v>
      </c>
      <c r="C484" s="206" t="s">
        <v>7</v>
      </c>
      <c r="D484" s="206" t="s">
        <v>6</v>
      </c>
      <c r="E484" s="206" t="s">
        <v>5</v>
      </c>
      <c r="F484" s="206" t="s">
        <v>4</v>
      </c>
      <c r="G484" s="206" t="s">
        <v>3</v>
      </c>
      <c r="H484" s="206" t="s">
        <v>2</v>
      </c>
      <c r="I484" s="206" t="s">
        <v>1</v>
      </c>
      <c r="J484" s="206" t="s">
        <v>0</v>
      </c>
      <c r="K484" s="206" t="s">
        <v>1</v>
      </c>
      <c r="L484" s="206" t="s">
        <v>2</v>
      </c>
      <c r="M484" s="206" t="s">
        <v>3</v>
      </c>
      <c r="N484" s="206" t="s">
        <v>4</v>
      </c>
      <c r="O484" s="206" t="s">
        <v>5</v>
      </c>
      <c r="P484" s="206" t="s">
        <v>6</v>
      </c>
      <c r="Q484" s="206" t="s">
        <v>7</v>
      </c>
      <c r="R484" s="206" t="s">
        <v>8</v>
      </c>
      <c r="S484" s="207" t="e">
        <f>'6a-Hierarchy'!#REF!</f>
        <v>#REF!</v>
      </c>
    </row>
    <row r="485" spans="1:19" ht="16.5" customHeight="1">
      <c r="A485" s="201" t="str">
        <f>'6a-Hierarchy'!$F$4</f>
        <v>Alt.2</v>
      </c>
      <c r="B485" s="169" t="s">
        <v>8</v>
      </c>
      <c r="C485" s="169" t="s">
        <v>7</v>
      </c>
      <c r="D485" s="169" t="s">
        <v>6</v>
      </c>
      <c r="E485" s="169" t="s">
        <v>5</v>
      </c>
      <c r="F485" s="169" t="s">
        <v>4</v>
      </c>
      <c r="G485" s="169" t="s">
        <v>3</v>
      </c>
      <c r="H485" s="169" t="s">
        <v>2</v>
      </c>
      <c r="I485" s="169" t="s">
        <v>1</v>
      </c>
      <c r="J485" s="169" t="s">
        <v>0</v>
      </c>
      <c r="K485" s="169" t="s">
        <v>1</v>
      </c>
      <c r="L485" s="169" t="s">
        <v>2</v>
      </c>
      <c r="M485" s="169" t="s">
        <v>3</v>
      </c>
      <c r="N485" s="169" t="s">
        <v>4</v>
      </c>
      <c r="O485" s="169" t="s">
        <v>5</v>
      </c>
      <c r="P485" s="169" t="s">
        <v>6</v>
      </c>
      <c r="Q485" s="169" t="s">
        <v>7</v>
      </c>
      <c r="R485" s="169" t="s">
        <v>8</v>
      </c>
      <c r="S485" s="170" t="str">
        <f>'6a-Hierarchy'!$G$4</f>
        <v>Alt.3</v>
      </c>
    </row>
    <row r="486" spans="1:19" ht="16.5" customHeight="1" thickBot="1">
      <c r="A486" s="205"/>
      <c r="B486" s="206" t="s">
        <v>8</v>
      </c>
      <c r="C486" s="206" t="s">
        <v>7</v>
      </c>
      <c r="D486" s="206" t="s">
        <v>6</v>
      </c>
      <c r="E486" s="206" t="s">
        <v>5</v>
      </c>
      <c r="F486" s="206" t="s">
        <v>4</v>
      </c>
      <c r="G486" s="206" t="s">
        <v>3</v>
      </c>
      <c r="H486" s="206" t="s">
        <v>2</v>
      </c>
      <c r="I486" s="206" t="s">
        <v>1</v>
      </c>
      <c r="J486" s="206" t="s">
        <v>0</v>
      </c>
      <c r="K486" s="206" t="s">
        <v>1</v>
      </c>
      <c r="L486" s="206" t="s">
        <v>2</v>
      </c>
      <c r="M486" s="206" t="s">
        <v>3</v>
      </c>
      <c r="N486" s="206" t="s">
        <v>4</v>
      </c>
      <c r="O486" s="206" t="s">
        <v>5</v>
      </c>
      <c r="P486" s="206" t="s">
        <v>6</v>
      </c>
      <c r="Q486" s="206" t="s">
        <v>7</v>
      </c>
      <c r="R486" s="206" t="s">
        <v>8</v>
      </c>
      <c r="S486" s="207" t="e">
        <f>'6a-Hierarchy'!#REF!</f>
        <v>#REF!</v>
      </c>
    </row>
    <row r="487" spans="1:19" ht="16.5" customHeight="1" thickBot="1">
      <c r="A487" s="213" t="str">
        <f>'6a-Hierarchy'!$G$4</f>
        <v>Alt.3</v>
      </c>
      <c r="B487" s="222" t="s">
        <v>8</v>
      </c>
      <c r="C487" s="222" t="s">
        <v>7</v>
      </c>
      <c r="D487" s="222" t="s">
        <v>6</v>
      </c>
      <c r="E487" s="222" t="s">
        <v>5</v>
      </c>
      <c r="F487" s="222" t="s">
        <v>4</v>
      </c>
      <c r="G487" s="222" t="s">
        <v>3</v>
      </c>
      <c r="H487" s="222" t="s">
        <v>2</v>
      </c>
      <c r="I487" s="222" t="s">
        <v>1</v>
      </c>
      <c r="J487" s="222" t="s">
        <v>0</v>
      </c>
      <c r="K487" s="222" t="s">
        <v>1</v>
      </c>
      <c r="L487" s="222" t="s">
        <v>2</v>
      </c>
      <c r="M487" s="222" t="s">
        <v>3</v>
      </c>
      <c r="N487" s="222" t="s">
        <v>4</v>
      </c>
      <c r="O487" s="222" t="s">
        <v>5</v>
      </c>
      <c r="P487" s="222" t="s">
        <v>6</v>
      </c>
      <c r="Q487" s="222" t="s">
        <v>7</v>
      </c>
      <c r="R487" s="222" t="s">
        <v>8</v>
      </c>
      <c r="S487" s="214" t="e">
        <f>'6a-Hierarchy'!#REF!</f>
        <v>#REF!</v>
      </c>
    </row>
    <row r="488" spans="1:19" ht="7.5" customHeight="1" thickBot="1">
      <c r="A488" s="215"/>
      <c r="B488" s="216"/>
      <c r="C488" s="216"/>
      <c r="D488" s="216"/>
      <c r="E488" s="216"/>
      <c r="F488" s="216"/>
      <c r="G488" s="216"/>
      <c r="H488" s="216"/>
      <c r="I488" s="216"/>
      <c r="J488" s="216"/>
      <c r="K488" s="216"/>
      <c r="L488" s="216"/>
      <c r="M488" s="216"/>
      <c r="N488" s="216"/>
      <c r="O488" s="216"/>
      <c r="P488" s="216"/>
      <c r="Q488" s="216"/>
      <c r="R488" s="216"/>
      <c r="S488" s="215"/>
    </row>
    <row r="489" spans="1:19" ht="18.75" customHeight="1" thickBot="1">
      <c r="A489" s="217"/>
      <c r="B489" s="218"/>
      <c r="C489" s="218"/>
      <c r="D489" s="218"/>
      <c r="E489" s="218"/>
      <c r="F489" s="218"/>
      <c r="G489" s="219"/>
      <c r="H489" s="219"/>
      <c r="I489" s="220" t="e">
        <f>'1b-Sub-Performance'!#REF!</f>
        <v>#REF!</v>
      </c>
      <c r="J489" s="219" t="s">
        <v>14</v>
      </c>
      <c r="K489" s="219" t="s">
        <v>16</v>
      </c>
      <c r="L489" s="219"/>
      <c r="M489" s="219"/>
      <c r="N489" s="218"/>
      <c r="O489" s="218"/>
      <c r="P489" s="218"/>
      <c r="Q489" s="218"/>
      <c r="R489" s="218"/>
      <c r="S489" s="221"/>
    </row>
    <row r="490" spans="1:19" ht="33.75" customHeight="1" thickBot="1">
      <c r="A490" s="231" t="s">
        <v>227</v>
      </c>
      <c r="B490" s="232" t="s">
        <v>222</v>
      </c>
      <c r="C490" s="233"/>
      <c r="D490" s="232" t="s">
        <v>223</v>
      </c>
      <c r="E490" s="233"/>
      <c r="F490" s="232" t="s">
        <v>224</v>
      </c>
      <c r="G490" s="233"/>
      <c r="H490" s="232" t="s">
        <v>225</v>
      </c>
      <c r="I490" s="233"/>
      <c r="J490" s="232" t="s">
        <v>226</v>
      </c>
      <c r="K490" s="233"/>
      <c r="L490" s="232" t="s">
        <v>225</v>
      </c>
      <c r="M490" s="233"/>
      <c r="N490" s="232" t="s">
        <v>224</v>
      </c>
      <c r="O490" s="233"/>
      <c r="P490" s="232" t="s">
        <v>223</v>
      </c>
      <c r="Q490" s="233"/>
      <c r="R490" s="232" t="s">
        <v>222</v>
      </c>
      <c r="S490" s="234" t="s">
        <v>227</v>
      </c>
    </row>
    <row r="491" spans="1:19" ht="17.100000000000001" customHeight="1">
      <c r="A491" s="201" t="str">
        <f>'6a-Hierarchy'!$D$4</f>
        <v>Original</v>
      </c>
      <c r="B491" s="169" t="s">
        <v>8</v>
      </c>
      <c r="C491" s="169" t="s">
        <v>7</v>
      </c>
      <c r="D491" s="169" t="s">
        <v>6</v>
      </c>
      <c r="E491" s="169" t="s">
        <v>5</v>
      </c>
      <c r="F491" s="169" t="s">
        <v>4</v>
      </c>
      <c r="G491" s="169" t="s">
        <v>3</v>
      </c>
      <c r="H491" s="169" t="s">
        <v>2</v>
      </c>
      <c r="I491" s="169" t="s">
        <v>1</v>
      </c>
      <c r="J491" s="169" t="s">
        <v>0</v>
      </c>
      <c r="K491" s="169" t="s">
        <v>1</v>
      </c>
      <c r="L491" s="169" t="s">
        <v>2</v>
      </c>
      <c r="M491" s="169" t="s">
        <v>3</v>
      </c>
      <c r="N491" s="169" t="s">
        <v>4</v>
      </c>
      <c r="O491" s="169" t="s">
        <v>5</v>
      </c>
      <c r="P491" s="169" t="s">
        <v>6</v>
      </c>
      <c r="Q491" s="169" t="s">
        <v>7</v>
      </c>
      <c r="R491" s="169" t="s">
        <v>8</v>
      </c>
      <c r="S491" s="170" t="str">
        <f>'6a-Hierarchy'!$E$4</f>
        <v>Alt.1</v>
      </c>
    </row>
    <row r="492" spans="1:19" ht="16.5" customHeight="1">
      <c r="A492" s="202"/>
      <c r="B492" s="46" t="s">
        <v>8</v>
      </c>
      <c r="C492" s="46" t="s">
        <v>7</v>
      </c>
      <c r="D492" s="46" t="s">
        <v>6</v>
      </c>
      <c r="E492" s="46" t="s">
        <v>5</v>
      </c>
      <c r="F492" s="46" t="s">
        <v>4</v>
      </c>
      <c r="G492" s="46" t="s">
        <v>3</v>
      </c>
      <c r="H492" s="46" t="s">
        <v>2</v>
      </c>
      <c r="I492" s="46" t="s">
        <v>1</v>
      </c>
      <c r="J492" s="46" t="s">
        <v>0</v>
      </c>
      <c r="K492" s="46" t="s">
        <v>1</v>
      </c>
      <c r="L492" s="46" t="s">
        <v>2</v>
      </c>
      <c r="M492" s="46" t="s">
        <v>3</v>
      </c>
      <c r="N492" s="46" t="s">
        <v>4</v>
      </c>
      <c r="O492" s="46" t="s">
        <v>5</v>
      </c>
      <c r="P492" s="46" t="s">
        <v>6</v>
      </c>
      <c r="Q492" s="46" t="s">
        <v>7</v>
      </c>
      <c r="R492" s="46" t="s">
        <v>8</v>
      </c>
      <c r="S492" s="203" t="str">
        <f>'6a-Hierarchy'!$F$4</f>
        <v>Alt.2</v>
      </c>
    </row>
    <row r="493" spans="1:19" ht="16.5" customHeight="1">
      <c r="A493" s="202"/>
      <c r="B493" s="46" t="s">
        <v>8</v>
      </c>
      <c r="C493" s="46" t="s">
        <v>7</v>
      </c>
      <c r="D493" s="46" t="s">
        <v>6</v>
      </c>
      <c r="E493" s="46" t="s">
        <v>5</v>
      </c>
      <c r="F493" s="46" t="s">
        <v>4</v>
      </c>
      <c r="G493" s="46" t="s">
        <v>3</v>
      </c>
      <c r="H493" s="46" t="s">
        <v>2</v>
      </c>
      <c r="I493" s="46" t="s">
        <v>1</v>
      </c>
      <c r="J493" s="46" t="s">
        <v>0</v>
      </c>
      <c r="K493" s="46" t="s">
        <v>1</v>
      </c>
      <c r="L493" s="46" t="s">
        <v>2</v>
      </c>
      <c r="M493" s="46" t="s">
        <v>3</v>
      </c>
      <c r="N493" s="46" t="s">
        <v>4</v>
      </c>
      <c r="O493" s="46" t="s">
        <v>5</v>
      </c>
      <c r="P493" s="46" t="s">
        <v>6</v>
      </c>
      <c r="Q493" s="46" t="s">
        <v>7</v>
      </c>
      <c r="R493" s="46" t="s">
        <v>8</v>
      </c>
      <c r="S493" s="203" t="str">
        <f>'6a-Hierarchy'!$G$4</f>
        <v>Alt.3</v>
      </c>
    </row>
    <row r="494" spans="1:19" ht="16.5" customHeight="1" thickBot="1">
      <c r="A494" s="205"/>
      <c r="B494" s="206" t="s">
        <v>8</v>
      </c>
      <c r="C494" s="206" t="s">
        <v>7</v>
      </c>
      <c r="D494" s="206" t="s">
        <v>6</v>
      </c>
      <c r="E494" s="206" t="s">
        <v>5</v>
      </c>
      <c r="F494" s="206" t="s">
        <v>4</v>
      </c>
      <c r="G494" s="206" t="s">
        <v>3</v>
      </c>
      <c r="H494" s="206" t="s">
        <v>2</v>
      </c>
      <c r="I494" s="206" t="s">
        <v>1</v>
      </c>
      <c r="J494" s="206" t="s">
        <v>0</v>
      </c>
      <c r="K494" s="206" t="s">
        <v>1</v>
      </c>
      <c r="L494" s="206" t="s">
        <v>2</v>
      </c>
      <c r="M494" s="206" t="s">
        <v>3</v>
      </c>
      <c r="N494" s="206" t="s">
        <v>4</v>
      </c>
      <c r="O494" s="206" t="s">
        <v>5</v>
      </c>
      <c r="P494" s="206" t="s">
        <v>6</v>
      </c>
      <c r="Q494" s="206" t="s">
        <v>7</v>
      </c>
      <c r="R494" s="206" t="s">
        <v>8</v>
      </c>
      <c r="S494" s="207" t="e">
        <f>'6a-Hierarchy'!#REF!</f>
        <v>#REF!</v>
      </c>
    </row>
    <row r="495" spans="1:19" ht="16.5" customHeight="1">
      <c r="A495" s="201" t="str">
        <f>'6a-Hierarchy'!$E$4</f>
        <v>Alt.1</v>
      </c>
      <c r="B495" s="169" t="s">
        <v>8</v>
      </c>
      <c r="C495" s="169" t="s">
        <v>7</v>
      </c>
      <c r="D495" s="169" t="s">
        <v>6</v>
      </c>
      <c r="E495" s="169" t="s">
        <v>5</v>
      </c>
      <c r="F495" s="169" t="s">
        <v>4</v>
      </c>
      <c r="G495" s="169" t="s">
        <v>3</v>
      </c>
      <c r="H495" s="169" t="s">
        <v>2</v>
      </c>
      <c r="I495" s="169" t="s">
        <v>1</v>
      </c>
      <c r="J495" s="169" t="s">
        <v>0</v>
      </c>
      <c r="K495" s="169" t="s">
        <v>1</v>
      </c>
      <c r="L495" s="169" t="s">
        <v>2</v>
      </c>
      <c r="M495" s="169" t="s">
        <v>3</v>
      </c>
      <c r="N495" s="169" t="s">
        <v>4</v>
      </c>
      <c r="O495" s="169" t="s">
        <v>5</v>
      </c>
      <c r="P495" s="169" t="s">
        <v>6</v>
      </c>
      <c r="Q495" s="169" t="s">
        <v>7</v>
      </c>
      <c r="R495" s="169" t="s">
        <v>8</v>
      </c>
      <c r="S495" s="170" t="str">
        <f>'6a-Hierarchy'!$F$4</f>
        <v>Alt.2</v>
      </c>
    </row>
    <row r="496" spans="1:19" ht="16.5" customHeight="1">
      <c r="A496" s="202"/>
      <c r="B496" s="46" t="s">
        <v>8</v>
      </c>
      <c r="C496" s="46" t="s">
        <v>7</v>
      </c>
      <c r="D496" s="46" t="s">
        <v>6</v>
      </c>
      <c r="E496" s="46" t="s">
        <v>5</v>
      </c>
      <c r="F496" s="46" t="s">
        <v>4</v>
      </c>
      <c r="G496" s="46" t="s">
        <v>3</v>
      </c>
      <c r="H496" s="46" t="s">
        <v>2</v>
      </c>
      <c r="I496" s="46" t="s">
        <v>1</v>
      </c>
      <c r="J496" s="46" t="s">
        <v>0</v>
      </c>
      <c r="K496" s="46" t="s">
        <v>1</v>
      </c>
      <c r="L496" s="46" t="s">
        <v>2</v>
      </c>
      <c r="M496" s="46" t="s">
        <v>3</v>
      </c>
      <c r="N496" s="46" t="s">
        <v>4</v>
      </c>
      <c r="O496" s="46" t="s">
        <v>5</v>
      </c>
      <c r="P496" s="46" t="s">
        <v>6</v>
      </c>
      <c r="Q496" s="46" t="s">
        <v>7</v>
      </c>
      <c r="R496" s="46" t="s">
        <v>8</v>
      </c>
      <c r="S496" s="203" t="str">
        <f>'6a-Hierarchy'!$G$4</f>
        <v>Alt.3</v>
      </c>
    </row>
    <row r="497" spans="1:19" ht="16.5" customHeight="1" thickBot="1">
      <c r="A497" s="205"/>
      <c r="B497" s="206" t="s">
        <v>8</v>
      </c>
      <c r="C497" s="206" t="s">
        <v>7</v>
      </c>
      <c r="D497" s="206" t="s">
        <v>6</v>
      </c>
      <c r="E497" s="206" t="s">
        <v>5</v>
      </c>
      <c r="F497" s="206" t="s">
        <v>4</v>
      </c>
      <c r="G497" s="206" t="s">
        <v>3</v>
      </c>
      <c r="H497" s="206" t="s">
        <v>2</v>
      </c>
      <c r="I497" s="206" t="s">
        <v>1</v>
      </c>
      <c r="J497" s="206" t="s">
        <v>0</v>
      </c>
      <c r="K497" s="206" t="s">
        <v>1</v>
      </c>
      <c r="L497" s="206" t="s">
        <v>2</v>
      </c>
      <c r="M497" s="206" t="s">
        <v>3</v>
      </c>
      <c r="N497" s="206" t="s">
        <v>4</v>
      </c>
      <c r="O497" s="206" t="s">
        <v>5</v>
      </c>
      <c r="P497" s="206" t="s">
        <v>6</v>
      </c>
      <c r="Q497" s="206" t="s">
        <v>7</v>
      </c>
      <c r="R497" s="206" t="s">
        <v>8</v>
      </c>
      <c r="S497" s="207" t="e">
        <f>'6a-Hierarchy'!#REF!</f>
        <v>#REF!</v>
      </c>
    </row>
    <row r="498" spans="1:19" ht="16.5" customHeight="1">
      <c r="A498" s="201" t="str">
        <f>'6a-Hierarchy'!$F$4</f>
        <v>Alt.2</v>
      </c>
      <c r="B498" s="169" t="s">
        <v>8</v>
      </c>
      <c r="C498" s="169" t="s">
        <v>7</v>
      </c>
      <c r="D498" s="169" t="s">
        <v>6</v>
      </c>
      <c r="E498" s="169" t="s">
        <v>5</v>
      </c>
      <c r="F498" s="169" t="s">
        <v>4</v>
      </c>
      <c r="G498" s="169" t="s">
        <v>3</v>
      </c>
      <c r="H498" s="169" t="s">
        <v>2</v>
      </c>
      <c r="I498" s="169" t="s">
        <v>1</v>
      </c>
      <c r="J498" s="169" t="s">
        <v>0</v>
      </c>
      <c r="K498" s="169" t="s">
        <v>1</v>
      </c>
      <c r="L498" s="169" t="s">
        <v>2</v>
      </c>
      <c r="M498" s="169" t="s">
        <v>3</v>
      </c>
      <c r="N498" s="169" t="s">
        <v>4</v>
      </c>
      <c r="O498" s="169" t="s">
        <v>5</v>
      </c>
      <c r="P498" s="169" t="s">
        <v>6</v>
      </c>
      <c r="Q498" s="169" t="s">
        <v>7</v>
      </c>
      <c r="R498" s="169" t="s">
        <v>8</v>
      </c>
      <c r="S498" s="170" t="str">
        <f>'6a-Hierarchy'!$G$4</f>
        <v>Alt.3</v>
      </c>
    </row>
    <row r="499" spans="1:19" ht="16.5" customHeight="1" thickBot="1">
      <c r="A499" s="205"/>
      <c r="B499" s="206" t="s">
        <v>8</v>
      </c>
      <c r="C499" s="206" t="s">
        <v>7</v>
      </c>
      <c r="D499" s="206" t="s">
        <v>6</v>
      </c>
      <c r="E499" s="206" t="s">
        <v>5</v>
      </c>
      <c r="F499" s="206" t="s">
        <v>4</v>
      </c>
      <c r="G499" s="206" t="s">
        <v>3</v>
      </c>
      <c r="H499" s="206" t="s">
        <v>2</v>
      </c>
      <c r="I499" s="206" t="s">
        <v>1</v>
      </c>
      <c r="J499" s="206" t="s">
        <v>0</v>
      </c>
      <c r="K499" s="206" t="s">
        <v>1</v>
      </c>
      <c r="L499" s="206" t="s">
        <v>2</v>
      </c>
      <c r="M499" s="206" t="s">
        <v>3</v>
      </c>
      <c r="N499" s="206" t="s">
        <v>4</v>
      </c>
      <c r="O499" s="206" t="s">
        <v>5</v>
      </c>
      <c r="P499" s="206" t="s">
        <v>6</v>
      </c>
      <c r="Q499" s="206" t="s">
        <v>7</v>
      </c>
      <c r="R499" s="206" t="s">
        <v>8</v>
      </c>
      <c r="S499" s="207" t="e">
        <f>'6a-Hierarchy'!#REF!</f>
        <v>#REF!</v>
      </c>
    </row>
    <row r="500" spans="1:19" ht="16.5" customHeight="1" thickBot="1">
      <c r="A500" s="213" t="str">
        <f>'6a-Hierarchy'!$G$4</f>
        <v>Alt.3</v>
      </c>
      <c r="B500" s="222" t="s">
        <v>8</v>
      </c>
      <c r="C500" s="222" t="s">
        <v>7</v>
      </c>
      <c r="D500" s="222" t="s">
        <v>6</v>
      </c>
      <c r="E500" s="222" t="s">
        <v>5</v>
      </c>
      <c r="F500" s="222" t="s">
        <v>4</v>
      </c>
      <c r="G500" s="222" t="s">
        <v>3</v>
      </c>
      <c r="H500" s="222" t="s">
        <v>2</v>
      </c>
      <c r="I500" s="222" t="s">
        <v>1</v>
      </c>
      <c r="J500" s="222" t="s">
        <v>0</v>
      </c>
      <c r="K500" s="222" t="s">
        <v>1</v>
      </c>
      <c r="L500" s="222" t="s">
        <v>2</v>
      </c>
      <c r="M500" s="222" t="s">
        <v>3</v>
      </c>
      <c r="N500" s="222" t="s">
        <v>4</v>
      </c>
      <c r="O500" s="222" t="s">
        <v>5</v>
      </c>
      <c r="P500" s="222" t="s">
        <v>6</v>
      </c>
      <c r="Q500" s="222" t="s">
        <v>7</v>
      </c>
      <c r="R500" s="222" t="s">
        <v>8</v>
      </c>
      <c r="S500" s="214" t="e">
        <f>'6a-Hierarchy'!#REF!</f>
        <v>#REF!</v>
      </c>
    </row>
    <row r="501" spans="1:19" ht="7.5" customHeight="1" thickBot="1">
      <c r="A501" s="215"/>
      <c r="B501" s="216"/>
      <c r="C501" s="216"/>
      <c r="D501" s="216"/>
      <c r="E501" s="216"/>
      <c r="F501" s="216"/>
      <c r="G501" s="216"/>
      <c r="H501" s="216"/>
      <c r="I501" s="216"/>
      <c r="J501" s="216"/>
      <c r="K501" s="216"/>
      <c r="L501" s="216"/>
      <c r="M501" s="216"/>
      <c r="N501" s="216"/>
      <c r="O501" s="216"/>
      <c r="P501" s="216"/>
      <c r="Q501" s="216"/>
      <c r="R501" s="216"/>
      <c r="S501" s="215"/>
    </row>
    <row r="502" spans="1:19" ht="18.75" customHeight="1" thickBot="1">
      <c r="A502" s="217"/>
      <c r="B502" s="218"/>
      <c r="C502" s="218"/>
      <c r="D502" s="218"/>
      <c r="E502" s="218"/>
      <c r="F502" s="218"/>
      <c r="G502" s="219"/>
      <c r="H502" s="219"/>
      <c r="I502" s="220">
        <f>'1b-Sub-Performance'!A37</f>
        <v>0</v>
      </c>
      <c r="J502" s="219" t="s">
        <v>14</v>
      </c>
      <c r="K502" s="219" t="s">
        <v>16</v>
      </c>
      <c r="L502" s="219"/>
      <c r="M502" s="219"/>
      <c r="N502" s="218"/>
      <c r="O502" s="218"/>
      <c r="P502" s="218"/>
      <c r="Q502" s="218"/>
      <c r="R502" s="218"/>
      <c r="S502" s="221"/>
    </row>
    <row r="503" spans="1:19" ht="33.75" customHeight="1" thickBot="1">
      <c r="A503" s="231" t="s">
        <v>227</v>
      </c>
      <c r="B503" s="232" t="s">
        <v>222</v>
      </c>
      <c r="C503" s="233"/>
      <c r="D503" s="232" t="s">
        <v>223</v>
      </c>
      <c r="E503" s="233"/>
      <c r="F503" s="232" t="s">
        <v>224</v>
      </c>
      <c r="G503" s="233"/>
      <c r="H503" s="232" t="s">
        <v>225</v>
      </c>
      <c r="I503" s="233"/>
      <c r="J503" s="232" t="s">
        <v>226</v>
      </c>
      <c r="K503" s="233"/>
      <c r="L503" s="232" t="s">
        <v>225</v>
      </c>
      <c r="M503" s="233"/>
      <c r="N503" s="232" t="s">
        <v>224</v>
      </c>
      <c r="O503" s="233"/>
      <c r="P503" s="232" t="s">
        <v>223</v>
      </c>
      <c r="Q503" s="233"/>
      <c r="R503" s="232" t="s">
        <v>222</v>
      </c>
      <c r="S503" s="234" t="s">
        <v>227</v>
      </c>
    </row>
    <row r="504" spans="1:19" ht="17.100000000000001" customHeight="1">
      <c r="A504" s="201" t="str">
        <f>'6a-Hierarchy'!$D$4</f>
        <v>Original</v>
      </c>
      <c r="B504" s="169" t="s">
        <v>8</v>
      </c>
      <c r="C504" s="169" t="s">
        <v>7</v>
      </c>
      <c r="D504" s="169" t="s">
        <v>6</v>
      </c>
      <c r="E504" s="169" t="s">
        <v>5</v>
      </c>
      <c r="F504" s="169" t="s">
        <v>4</v>
      </c>
      <c r="G504" s="169" t="s">
        <v>3</v>
      </c>
      <c r="H504" s="169" t="s">
        <v>2</v>
      </c>
      <c r="I504" s="169" t="s">
        <v>1</v>
      </c>
      <c r="J504" s="169" t="s">
        <v>0</v>
      </c>
      <c r="K504" s="169" t="s">
        <v>1</v>
      </c>
      <c r="L504" s="169" t="s">
        <v>2</v>
      </c>
      <c r="M504" s="169" t="s">
        <v>3</v>
      </c>
      <c r="N504" s="169" t="s">
        <v>4</v>
      </c>
      <c r="O504" s="169" t="s">
        <v>5</v>
      </c>
      <c r="P504" s="169" t="s">
        <v>6</v>
      </c>
      <c r="Q504" s="169" t="s">
        <v>7</v>
      </c>
      <c r="R504" s="169" t="s">
        <v>8</v>
      </c>
      <c r="S504" s="170" t="str">
        <f>'6a-Hierarchy'!$E$4</f>
        <v>Alt.1</v>
      </c>
    </row>
    <row r="505" spans="1:19" ht="16.5" customHeight="1">
      <c r="A505" s="202"/>
      <c r="B505" s="46" t="s">
        <v>8</v>
      </c>
      <c r="C505" s="46" t="s">
        <v>7</v>
      </c>
      <c r="D505" s="46" t="s">
        <v>6</v>
      </c>
      <c r="E505" s="46" t="s">
        <v>5</v>
      </c>
      <c r="F505" s="46" t="s">
        <v>4</v>
      </c>
      <c r="G505" s="46" t="s">
        <v>3</v>
      </c>
      <c r="H505" s="46" t="s">
        <v>2</v>
      </c>
      <c r="I505" s="46" t="s">
        <v>1</v>
      </c>
      <c r="J505" s="46" t="s">
        <v>0</v>
      </c>
      <c r="K505" s="46" t="s">
        <v>1</v>
      </c>
      <c r="L505" s="46" t="s">
        <v>2</v>
      </c>
      <c r="M505" s="46" t="s">
        <v>3</v>
      </c>
      <c r="N505" s="46" t="s">
        <v>4</v>
      </c>
      <c r="O505" s="46" t="s">
        <v>5</v>
      </c>
      <c r="P505" s="46" t="s">
        <v>6</v>
      </c>
      <c r="Q505" s="46" t="s">
        <v>7</v>
      </c>
      <c r="R505" s="46" t="s">
        <v>8</v>
      </c>
      <c r="S505" s="203" t="str">
        <f>'6a-Hierarchy'!$F$4</f>
        <v>Alt.2</v>
      </c>
    </row>
    <row r="506" spans="1:19" ht="16.5" customHeight="1">
      <c r="A506" s="202"/>
      <c r="B506" s="46" t="s">
        <v>8</v>
      </c>
      <c r="C506" s="46" t="s">
        <v>7</v>
      </c>
      <c r="D506" s="46" t="s">
        <v>6</v>
      </c>
      <c r="E506" s="46" t="s">
        <v>5</v>
      </c>
      <c r="F506" s="46" t="s">
        <v>4</v>
      </c>
      <c r="G506" s="46" t="s">
        <v>3</v>
      </c>
      <c r="H506" s="46" t="s">
        <v>2</v>
      </c>
      <c r="I506" s="46" t="s">
        <v>1</v>
      </c>
      <c r="J506" s="46" t="s">
        <v>0</v>
      </c>
      <c r="K506" s="46" t="s">
        <v>1</v>
      </c>
      <c r="L506" s="46" t="s">
        <v>2</v>
      </c>
      <c r="M506" s="46" t="s">
        <v>3</v>
      </c>
      <c r="N506" s="46" t="s">
        <v>4</v>
      </c>
      <c r="O506" s="46" t="s">
        <v>5</v>
      </c>
      <c r="P506" s="46" t="s">
        <v>6</v>
      </c>
      <c r="Q506" s="46" t="s">
        <v>7</v>
      </c>
      <c r="R506" s="46" t="s">
        <v>8</v>
      </c>
      <c r="S506" s="203" t="str">
        <f>'6a-Hierarchy'!$G$4</f>
        <v>Alt.3</v>
      </c>
    </row>
    <row r="507" spans="1:19" ht="16.5" customHeight="1" thickBot="1">
      <c r="A507" s="205"/>
      <c r="B507" s="206" t="s">
        <v>8</v>
      </c>
      <c r="C507" s="206" t="s">
        <v>7</v>
      </c>
      <c r="D507" s="206" t="s">
        <v>6</v>
      </c>
      <c r="E507" s="206" t="s">
        <v>5</v>
      </c>
      <c r="F507" s="206" t="s">
        <v>4</v>
      </c>
      <c r="G507" s="206" t="s">
        <v>3</v>
      </c>
      <c r="H507" s="206" t="s">
        <v>2</v>
      </c>
      <c r="I507" s="206" t="s">
        <v>1</v>
      </c>
      <c r="J507" s="206" t="s">
        <v>0</v>
      </c>
      <c r="K507" s="206" t="s">
        <v>1</v>
      </c>
      <c r="L507" s="206" t="s">
        <v>2</v>
      </c>
      <c r="M507" s="206" t="s">
        <v>3</v>
      </c>
      <c r="N507" s="206" t="s">
        <v>4</v>
      </c>
      <c r="O507" s="206" t="s">
        <v>5</v>
      </c>
      <c r="P507" s="206" t="s">
        <v>6</v>
      </c>
      <c r="Q507" s="206" t="s">
        <v>7</v>
      </c>
      <c r="R507" s="206" t="s">
        <v>8</v>
      </c>
      <c r="S507" s="207" t="e">
        <f>'6a-Hierarchy'!#REF!</f>
        <v>#REF!</v>
      </c>
    </row>
    <row r="508" spans="1:19" ht="16.5" customHeight="1">
      <c r="A508" s="201" t="str">
        <f>'6a-Hierarchy'!$E$4</f>
        <v>Alt.1</v>
      </c>
      <c r="B508" s="169" t="s">
        <v>8</v>
      </c>
      <c r="C508" s="169" t="s">
        <v>7</v>
      </c>
      <c r="D508" s="169" t="s">
        <v>6</v>
      </c>
      <c r="E508" s="169" t="s">
        <v>5</v>
      </c>
      <c r="F508" s="169" t="s">
        <v>4</v>
      </c>
      <c r="G508" s="169" t="s">
        <v>3</v>
      </c>
      <c r="H508" s="169" t="s">
        <v>2</v>
      </c>
      <c r="I508" s="169" t="s">
        <v>1</v>
      </c>
      <c r="J508" s="169" t="s">
        <v>0</v>
      </c>
      <c r="K508" s="169" t="s">
        <v>1</v>
      </c>
      <c r="L508" s="169" t="s">
        <v>2</v>
      </c>
      <c r="M508" s="169" t="s">
        <v>3</v>
      </c>
      <c r="N508" s="169" t="s">
        <v>4</v>
      </c>
      <c r="O508" s="169" t="s">
        <v>5</v>
      </c>
      <c r="P508" s="169" t="s">
        <v>6</v>
      </c>
      <c r="Q508" s="169" t="s">
        <v>7</v>
      </c>
      <c r="R508" s="169" t="s">
        <v>8</v>
      </c>
      <c r="S508" s="170" t="str">
        <f>'6a-Hierarchy'!$F$4</f>
        <v>Alt.2</v>
      </c>
    </row>
    <row r="509" spans="1:19" ht="16.5" customHeight="1">
      <c r="A509" s="202"/>
      <c r="B509" s="46" t="s">
        <v>8</v>
      </c>
      <c r="C509" s="46" t="s">
        <v>7</v>
      </c>
      <c r="D509" s="46" t="s">
        <v>6</v>
      </c>
      <c r="E509" s="46" t="s">
        <v>5</v>
      </c>
      <c r="F509" s="46" t="s">
        <v>4</v>
      </c>
      <c r="G509" s="46" t="s">
        <v>3</v>
      </c>
      <c r="H509" s="46" t="s">
        <v>2</v>
      </c>
      <c r="I509" s="46" t="s">
        <v>1</v>
      </c>
      <c r="J509" s="46" t="s">
        <v>0</v>
      </c>
      <c r="K509" s="46" t="s">
        <v>1</v>
      </c>
      <c r="L509" s="46" t="s">
        <v>2</v>
      </c>
      <c r="M509" s="46" t="s">
        <v>3</v>
      </c>
      <c r="N509" s="46" t="s">
        <v>4</v>
      </c>
      <c r="O509" s="46" t="s">
        <v>5</v>
      </c>
      <c r="P509" s="46" t="s">
        <v>6</v>
      </c>
      <c r="Q509" s="46" t="s">
        <v>7</v>
      </c>
      <c r="R509" s="46" t="s">
        <v>8</v>
      </c>
      <c r="S509" s="203" t="str">
        <f>'6a-Hierarchy'!$G$4</f>
        <v>Alt.3</v>
      </c>
    </row>
    <row r="510" spans="1:19" ht="16.5" customHeight="1" thickBot="1">
      <c r="A510" s="205"/>
      <c r="B510" s="206" t="s">
        <v>8</v>
      </c>
      <c r="C510" s="206" t="s">
        <v>7</v>
      </c>
      <c r="D510" s="206" t="s">
        <v>6</v>
      </c>
      <c r="E510" s="206" t="s">
        <v>5</v>
      </c>
      <c r="F510" s="206" t="s">
        <v>4</v>
      </c>
      <c r="G510" s="206" t="s">
        <v>3</v>
      </c>
      <c r="H510" s="206" t="s">
        <v>2</v>
      </c>
      <c r="I510" s="206" t="s">
        <v>1</v>
      </c>
      <c r="J510" s="206" t="s">
        <v>0</v>
      </c>
      <c r="K510" s="206" t="s">
        <v>1</v>
      </c>
      <c r="L510" s="206" t="s">
        <v>2</v>
      </c>
      <c r="M510" s="206" t="s">
        <v>3</v>
      </c>
      <c r="N510" s="206" t="s">
        <v>4</v>
      </c>
      <c r="O510" s="206" t="s">
        <v>5</v>
      </c>
      <c r="P510" s="206" t="s">
        <v>6</v>
      </c>
      <c r="Q510" s="206" t="s">
        <v>7</v>
      </c>
      <c r="R510" s="206" t="s">
        <v>8</v>
      </c>
      <c r="S510" s="207" t="e">
        <f>'6a-Hierarchy'!#REF!</f>
        <v>#REF!</v>
      </c>
    </row>
    <row r="511" spans="1:19" ht="16.5" customHeight="1">
      <c r="A511" s="201" t="str">
        <f>'6a-Hierarchy'!$F$4</f>
        <v>Alt.2</v>
      </c>
      <c r="B511" s="169" t="s">
        <v>8</v>
      </c>
      <c r="C511" s="169" t="s">
        <v>7</v>
      </c>
      <c r="D511" s="169" t="s">
        <v>6</v>
      </c>
      <c r="E511" s="169" t="s">
        <v>5</v>
      </c>
      <c r="F511" s="169" t="s">
        <v>4</v>
      </c>
      <c r="G511" s="169" t="s">
        <v>3</v>
      </c>
      <c r="H511" s="169" t="s">
        <v>2</v>
      </c>
      <c r="I511" s="169" t="s">
        <v>1</v>
      </c>
      <c r="J511" s="169" t="s">
        <v>0</v>
      </c>
      <c r="K511" s="169" t="s">
        <v>1</v>
      </c>
      <c r="L511" s="169" t="s">
        <v>2</v>
      </c>
      <c r="M511" s="169" t="s">
        <v>3</v>
      </c>
      <c r="N511" s="169" t="s">
        <v>4</v>
      </c>
      <c r="O511" s="169" t="s">
        <v>5</v>
      </c>
      <c r="P511" s="169" t="s">
        <v>6</v>
      </c>
      <c r="Q511" s="169" t="s">
        <v>7</v>
      </c>
      <c r="R511" s="169" t="s">
        <v>8</v>
      </c>
      <c r="S511" s="170" t="str">
        <f>'6a-Hierarchy'!$G$4</f>
        <v>Alt.3</v>
      </c>
    </row>
    <row r="512" spans="1:19" ht="16.5" customHeight="1" thickBot="1">
      <c r="A512" s="205"/>
      <c r="B512" s="206" t="s">
        <v>8</v>
      </c>
      <c r="C512" s="206" t="s">
        <v>7</v>
      </c>
      <c r="D512" s="206" t="s">
        <v>6</v>
      </c>
      <c r="E512" s="206" t="s">
        <v>5</v>
      </c>
      <c r="F512" s="206" t="s">
        <v>4</v>
      </c>
      <c r="G512" s="206" t="s">
        <v>3</v>
      </c>
      <c r="H512" s="206" t="s">
        <v>2</v>
      </c>
      <c r="I512" s="206" t="s">
        <v>1</v>
      </c>
      <c r="J512" s="206" t="s">
        <v>0</v>
      </c>
      <c r="K512" s="206" t="s">
        <v>1</v>
      </c>
      <c r="L512" s="206" t="s">
        <v>2</v>
      </c>
      <c r="M512" s="206" t="s">
        <v>3</v>
      </c>
      <c r="N512" s="206" t="s">
        <v>4</v>
      </c>
      <c r="O512" s="206" t="s">
        <v>5</v>
      </c>
      <c r="P512" s="206" t="s">
        <v>6</v>
      </c>
      <c r="Q512" s="206" t="s">
        <v>7</v>
      </c>
      <c r="R512" s="206" t="s">
        <v>8</v>
      </c>
      <c r="S512" s="207" t="e">
        <f>'6a-Hierarchy'!#REF!</f>
        <v>#REF!</v>
      </c>
    </row>
    <row r="513" spans="1:19" ht="16.5" customHeight="1" thickBot="1">
      <c r="A513" s="213" t="str">
        <f>'6a-Hierarchy'!$G$4</f>
        <v>Alt.3</v>
      </c>
      <c r="B513" s="222" t="s">
        <v>8</v>
      </c>
      <c r="C513" s="222" t="s">
        <v>7</v>
      </c>
      <c r="D513" s="222" t="s">
        <v>6</v>
      </c>
      <c r="E513" s="222" t="s">
        <v>5</v>
      </c>
      <c r="F513" s="222" t="s">
        <v>4</v>
      </c>
      <c r="G513" s="222" t="s">
        <v>3</v>
      </c>
      <c r="H513" s="222" t="s">
        <v>2</v>
      </c>
      <c r="I513" s="222" t="s">
        <v>1</v>
      </c>
      <c r="J513" s="222" t="s">
        <v>0</v>
      </c>
      <c r="K513" s="222" t="s">
        <v>1</v>
      </c>
      <c r="L513" s="222" t="s">
        <v>2</v>
      </c>
      <c r="M513" s="222" t="s">
        <v>3</v>
      </c>
      <c r="N513" s="222" t="s">
        <v>4</v>
      </c>
      <c r="O513" s="222" t="s">
        <v>5</v>
      </c>
      <c r="P513" s="222" t="s">
        <v>6</v>
      </c>
      <c r="Q513" s="222" t="s">
        <v>7</v>
      </c>
      <c r="R513" s="222" t="s">
        <v>8</v>
      </c>
      <c r="S513" s="214" t="e">
        <f>'6a-Hierarchy'!#REF!</f>
        <v>#REF!</v>
      </c>
    </row>
    <row r="514" spans="1:19" ht="7.5" customHeight="1" thickBot="1">
      <c r="A514" s="215"/>
      <c r="B514" s="216"/>
      <c r="C514" s="216"/>
      <c r="D514" s="216"/>
      <c r="E514" s="216"/>
      <c r="F514" s="216"/>
      <c r="G514" s="216"/>
      <c r="H514" s="216"/>
      <c r="I514" s="216"/>
      <c r="J514" s="216"/>
      <c r="K514" s="216"/>
      <c r="L514" s="216"/>
      <c r="M514" s="216"/>
      <c r="N514" s="216"/>
      <c r="O514" s="216"/>
      <c r="P514" s="216"/>
      <c r="Q514" s="216"/>
      <c r="R514" s="216"/>
      <c r="S514" s="215"/>
    </row>
    <row r="515" spans="1:19" ht="18.75" customHeight="1" thickBot="1">
      <c r="A515" s="217"/>
      <c r="B515" s="218"/>
      <c r="C515" s="218"/>
      <c r="D515" s="218"/>
      <c r="E515" s="218"/>
      <c r="F515" s="218"/>
      <c r="G515" s="219"/>
      <c r="H515" s="219"/>
      <c r="I515" s="220">
        <f>'1b-Sub-Performance'!A38</f>
        <v>0</v>
      </c>
      <c r="J515" s="219" t="s">
        <v>14</v>
      </c>
      <c r="K515" s="219" t="s">
        <v>16</v>
      </c>
      <c r="L515" s="219"/>
      <c r="M515" s="219"/>
      <c r="N515" s="218"/>
      <c r="O515" s="218"/>
      <c r="P515" s="218"/>
      <c r="Q515" s="218"/>
      <c r="R515" s="218"/>
      <c r="S515" s="221"/>
    </row>
    <row r="516" spans="1:19" ht="33.75" customHeight="1" thickBot="1">
      <c r="A516" s="231" t="s">
        <v>227</v>
      </c>
      <c r="B516" s="232" t="s">
        <v>222</v>
      </c>
      <c r="C516" s="233"/>
      <c r="D516" s="232" t="s">
        <v>223</v>
      </c>
      <c r="E516" s="233"/>
      <c r="F516" s="232" t="s">
        <v>224</v>
      </c>
      <c r="G516" s="233"/>
      <c r="H516" s="232" t="s">
        <v>225</v>
      </c>
      <c r="I516" s="233"/>
      <c r="J516" s="232" t="s">
        <v>226</v>
      </c>
      <c r="K516" s="233"/>
      <c r="L516" s="232" t="s">
        <v>225</v>
      </c>
      <c r="M516" s="233"/>
      <c r="N516" s="232" t="s">
        <v>224</v>
      </c>
      <c r="O516" s="233"/>
      <c r="P516" s="232" t="s">
        <v>223</v>
      </c>
      <c r="Q516" s="233"/>
      <c r="R516" s="232" t="s">
        <v>222</v>
      </c>
      <c r="S516" s="234" t="s">
        <v>227</v>
      </c>
    </row>
    <row r="517" spans="1:19" ht="17.100000000000001" customHeight="1">
      <c r="A517" s="201" t="str">
        <f>'6a-Hierarchy'!$D$4</f>
        <v>Original</v>
      </c>
      <c r="B517" s="169" t="s">
        <v>8</v>
      </c>
      <c r="C517" s="169" t="s">
        <v>7</v>
      </c>
      <c r="D517" s="169" t="s">
        <v>6</v>
      </c>
      <c r="E517" s="169" t="s">
        <v>5</v>
      </c>
      <c r="F517" s="169" t="s">
        <v>4</v>
      </c>
      <c r="G517" s="169" t="s">
        <v>3</v>
      </c>
      <c r="H517" s="169" t="s">
        <v>2</v>
      </c>
      <c r="I517" s="169" t="s">
        <v>1</v>
      </c>
      <c r="J517" s="169" t="s">
        <v>0</v>
      </c>
      <c r="K517" s="169" t="s">
        <v>1</v>
      </c>
      <c r="L517" s="169" t="s">
        <v>2</v>
      </c>
      <c r="M517" s="169" t="s">
        <v>3</v>
      </c>
      <c r="N517" s="169" t="s">
        <v>4</v>
      </c>
      <c r="O517" s="169" t="s">
        <v>5</v>
      </c>
      <c r="P517" s="169" t="s">
        <v>6</v>
      </c>
      <c r="Q517" s="169" t="s">
        <v>7</v>
      </c>
      <c r="R517" s="169" t="s">
        <v>8</v>
      </c>
      <c r="S517" s="170" t="str">
        <f>'6a-Hierarchy'!$E$4</f>
        <v>Alt.1</v>
      </c>
    </row>
    <row r="518" spans="1:19" ht="16.5" customHeight="1">
      <c r="A518" s="202"/>
      <c r="B518" s="46" t="s">
        <v>8</v>
      </c>
      <c r="C518" s="46" t="s">
        <v>7</v>
      </c>
      <c r="D518" s="46" t="s">
        <v>6</v>
      </c>
      <c r="E518" s="46" t="s">
        <v>5</v>
      </c>
      <c r="F518" s="46" t="s">
        <v>4</v>
      </c>
      <c r="G518" s="46" t="s">
        <v>3</v>
      </c>
      <c r="H518" s="46" t="s">
        <v>2</v>
      </c>
      <c r="I518" s="46" t="s">
        <v>1</v>
      </c>
      <c r="J518" s="46" t="s">
        <v>0</v>
      </c>
      <c r="K518" s="46" t="s">
        <v>1</v>
      </c>
      <c r="L518" s="46" t="s">
        <v>2</v>
      </c>
      <c r="M518" s="46" t="s">
        <v>3</v>
      </c>
      <c r="N518" s="46" t="s">
        <v>4</v>
      </c>
      <c r="O518" s="46" t="s">
        <v>5</v>
      </c>
      <c r="P518" s="46" t="s">
        <v>6</v>
      </c>
      <c r="Q518" s="46" t="s">
        <v>7</v>
      </c>
      <c r="R518" s="46" t="s">
        <v>8</v>
      </c>
      <c r="S518" s="203" t="str">
        <f>'6a-Hierarchy'!$F$4</f>
        <v>Alt.2</v>
      </c>
    </row>
    <row r="519" spans="1:19" ht="16.5" customHeight="1">
      <c r="A519" s="202"/>
      <c r="B519" s="46" t="s">
        <v>8</v>
      </c>
      <c r="C519" s="46" t="s">
        <v>7</v>
      </c>
      <c r="D519" s="46" t="s">
        <v>6</v>
      </c>
      <c r="E519" s="46" t="s">
        <v>5</v>
      </c>
      <c r="F519" s="46" t="s">
        <v>4</v>
      </c>
      <c r="G519" s="46" t="s">
        <v>3</v>
      </c>
      <c r="H519" s="46" t="s">
        <v>2</v>
      </c>
      <c r="I519" s="46" t="s">
        <v>1</v>
      </c>
      <c r="J519" s="46" t="s">
        <v>0</v>
      </c>
      <c r="K519" s="46" t="s">
        <v>1</v>
      </c>
      <c r="L519" s="46" t="s">
        <v>2</v>
      </c>
      <c r="M519" s="46" t="s">
        <v>3</v>
      </c>
      <c r="N519" s="46" t="s">
        <v>4</v>
      </c>
      <c r="O519" s="46" t="s">
        <v>5</v>
      </c>
      <c r="P519" s="46" t="s">
        <v>6</v>
      </c>
      <c r="Q519" s="46" t="s">
        <v>7</v>
      </c>
      <c r="R519" s="46" t="s">
        <v>8</v>
      </c>
      <c r="S519" s="203" t="str">
        <f>'6a-Hierarchy'!$G$4</f>
        <v>Alt.3</v>
      </c>
    </row>
    <row r="520" spans="1:19" ht="16.5" customHeight="1" thickBot="1">
      <c r="A520" s="205"/>
      <c r="B520" s="206" t="s">
        <v>8</v>
      </c>
      <c r="C520" s="206" t="s">
        <v>7</v>
      </c>
      <c r="D520" s="206" t="s">
        <v>6</v>
      </c>
      <c r="E520" s="206" t="s">
        <v>5</v>
      </c>
      <c r="F520" s="206" t="s">
        <v>4</v>
      </c>
      <c r="G520" s="206" t="s">
        <v>3</v>
      </c>
      <c r="H520" s="206" t="s">
        <v>2</v>
      </c>
      <c r="I520" s="206" t="s">
        <v>1</v>
      </c>
      <c r="J520" s="206" t="s">
        <v>0</v>
      </c>
      <c r="K520" s="206" t="s">
        <v>1</v>
      </c>
      <c r="L520" s="206" t="s">
        <v>2</v>
      </c>
      <c r="M520" s="206" t="s">
        <v>3</v>
      </c>
      <c r="N520" s="206" t="s">
        <v>4</v>
      </c>
      <c r="O520" s="206" t="s">
        <v>5</v>
      </c>
      <c r="P520" s="206" t="s">
        <v>6</v>
      </c>
      <c r="Q520" s="206" t="s">
        <v>7</v>
      </c>
      <c r="R520" s="206" t="s">
        <v>8</v>
      </c>
      <c r="S520" s="207" t="e">
        <f>'6a-Hierarchy'!#REF!</f>
        <v>#REF!</v>
      </c>
    </row>
    <row r="521" spans="1:19" ht="16.5" customHeight="1">
      <c r="A521" s="201" t="str">
        <f>'6a-Hierarchy'!$E$4</f>
        <v>Alt.1</v>
      </c>
      <c r="B521" s="169" t="s">
        <v>8</v>
      </c>
      <c r="C521" s="169" t="s">
        <v>7</v>
      </c>
      <c r="D521" s="169" t="s">
        <v>6</v>
      </c>
      <c r="E521" s="169" t="s">
        <v>5</v>
      </c>
      <c r="F521" s="169" t="s">
        <v>4</v>
      </c>
      <c r="G521" s="169" t="s">
        <v>3</v>
      </c>
      <c r="H521" s="169" t="s">
        <v>2</v>
      </c>
      <c r="I521" s="169" t="s">
        <v>1</v>
      </c>
      <c r="J521" s="169" t="s">
        <v>0</v>
      </c>
      <c r="K521" s="169" t="s">
        <v>1</v>
      </c>
      <c r="L521" s="169" t="s">
        <v>2</v>
      </c>
      <c r="M521" s="169" t="s">
        <v>3</v>
      </c>
      <c r="N521" s="169" t="s">
        <v>4</v>
      </c>
      <c r="O521" s="169" t="s">
        <v>5</v>
      </c>
      <c r="P521" s="169" t="s">
        <v>6</v>
      </c>
      <c r="Q521" s="169" t="s">
        <v>7</v>
      </c>
      <c r="R521" s="169" t="s">
        <v>8</v>
      </c>
      <c r="S521" s="170" t="str">
        <f>'6a-Hierarchy'!$F$4</f>
        <v>Alt.2</v>
      </c>
    </row>
    <row r="522" spans="1:19" ht="16.5" customHeight="1">
      <c r="A522" s="202"/>
      <c r="B522" s="46" t="s">
        <v>8</v>
      </c>
      <c r="C522" s="46" t="s">
        <v>7</v>
      </c>
      <c r="D522" s="46" t="s">
        <v>6</v>
      </c>
      <c r="E522" s="46" t="s">
        <v>5</v>
      </c>
      <c r="F522" s="46" t="s">
        <v>4</v>
      </c>
      <c r="G522" s="46" t="s">
        <v>3</v>
      </c>
      <c r="H522" s="46" t="s">
        <v>2</v>
      </c>
      <c r="I522" s="46" t="s">
        <v>1</v>
      </c>
      <c r="J522" s="46" t="s">
        <v>0</v>
      </c>
      <c r="K522" s="46" t="s">
        <v>1</v>
      </c>
      <c r="L522" s="46" t="s">
        <v>2</v>
      </c>
      <c r="M522" s="46" t="s">
        <v>3</v>
      </c>
      <c r="N522" s="46" t="s">
        <v>4</v>
      </c>
      <c r="O522" s="46" t="s">
        <v>5</v>
      </c>
      <c r="P522" s="46" t="s">
        <v>6</v>
      </c>
      <c r="Q522" s="46" t="s">
        <v>7</v>
      </c>
      <c r="R522" s="46" t="s">
        <v>8</v>
      </c>
      <c r="S522" s="203" t="str">
        <f>'6a-Hierarchy'!$G$4</f>
        <v>Alt.3</v>
      </c>
    </row>
    <row r="523" spans="1:19" ht="16.5" customHeight="1" thickBot="1">
      <c r="A523" s="205"/>
      <c r="B523" s="206" t="s">
        <v>8</v>
      </c>
      <c r="C523" s="206" t="s">
        <v>7</v>
      </c>
      <c r="D523" s="206" t="s">
        <v>6</v>
      </c>
      <c r="E523" s="206" t="s">
        <v>5</v>
      </c>
      <c r="F523" s="206" t="s">
        <v>4</v>
      </c>
      <c r="G523" s="206" t="s">
        <v>3</v>
      </c>
      <c r="H523" s="206" t="s">
        <v>2</v>
      </c>
      <c r="I523" s="206" t="s">
        <v>1</v>
      </c>
      <c r="J523" s="206" t="s">
        <v>0</v>
      </c>
      <c r="K523" s="206" t="s">
        <v>1</v>
      </c>
      <c r="L523" s="206" t="s">
        <v>2</v>
      </c>
      <c r="M523" s="206" t="s">
        <v>3</v>
      </c>
      <c r="N523" s="206" t="s">
        <v>4</v>
      </c>
      <c r="O523" s="206" t="s">
        <v>5</v>
      </c>
      <c r="P523" s="206" t="s">
        <v>6</v>
      </c>
      <c r="Q523" s="206" t="s">
        <v>7</v>
      </c>
      <c r="R523" s="206" t="s">
        <v>8</v>
      </c>
      <c r="S523" s="207" t="e">
        <f>'6a-Hierarchy'!#REF!</f>
        <v>#REF!</v>
      </c>
    </row>
    <row r="524" spans="1:19" ht="16.5" customHeight="1">
      <c r="A524" s="201" t="str">
        <f>'6a-Hierarchy'!$F$4</f>
        <v>Alt.2</v>
      </c>
      <c r="B524" s="169" t="s">
        <v>8</v>
      </c>
      <c r="C524" s="169" t="s">
        <v>7</v>
      </c>
      <c r="D524" s="169" t="s">
        <v>6</v>
      </c>
      <c r="E524" s="169" t="s">
        <v>5</v>
      </c>
      <c r="F524" s="169" t="s">
        <v>4</v>
      </c>
      <c r="G524" s="169" t="s">
        <v>3</v>
      </c>
      <c r="H524" s="169" t="s">
        <v>2</v>
      </c>
      <c r="I524" s="169" t="s">
        <v>1</v>
      </c>
      <c r="J524" s="169" t="s">
        <v>0</v>
      </c>
      <c r="K524" s="169" t="s">
        <v>1</v>
      </c>
      <c r="L524" s="169" t="s">
        <v>2</v>
      </c>
      <c r="M524" s="169" t="s">
        <v>3</v>
      </c>
      <c r="N524" s="169" t="s">
        <v>4</v>
      </c>
      <c r="O524" s="169" t="s">
        <v>5</v>
      </c>
      <c r="P524" s="169" t="s">
        <v>6</v>
      </c>
      <c r="Q524" s="169" t="s">
        <v>7</v>
      </c>
      <c r="R524" s="169" t="s">
        <v>8</v>
      </c>
      <c r="S524" s="170" t="str">
        <f>'6a-Hierarchy'!$G$4</f>
        <v>Alt.3</v>
      </c>
    </row>
    <row r="525" spans="1:19" ht="16.5" customHeight="1" thickBot="1">
      <c r="A525" s="205"/>
      <c r="B525" s="206" t="s">
        <v>8</v>
      </c>
      <c r="C525" s="206" t="s">
        <v>7</v>
      </c>
      <c r="D525" s="206" t="s">
        <v>6</v>
      </c>
      <c r="E525" s="206" t="s">
        <v>5</v>
      </c>
      <c r="F525" s="206" t="s">
        <v>4</v>
      </c>
      <c r="G525" s="206" t="s">
        <v>3</v>
      </c>
      <c r="H525" s="206" t="s">
        <v>2</v>
      </c>
      <c r="I525" s="206" t="s">
        <v>1</v>
      </c>
      <c r="J525" s="206" t="s">
        <v>0</v>
      </c>
      <c r="K525" s="206" t="s">
        <v>1</v>
      </c>
      <c r="L525" s="206" t="s">
        <v>2</v>
      </c>
      <c r="M525" s="206" t="s">
        <v>3</v>
      </c>
      <c r="N525" s="206" t="s">
        <v>4</v>
      </c>
      <c r="O525" s="206" t="s">
        <v>5</v>
      </c>
      <c r="P525" s="206" t="s">
        <v>6</v>
      </c>
      <c r="Q525" s="206" t="s">
        <v>7</v>
      </c>
      <c r="R525" s="206" t="s">
        <v>8</v>
      </c>
      <c r="S525" s="207" t="e">
        <f>'6a-Hierarchy'!#REF!</f>
        <v>#REF!</v>
      </c>
    </row>
    <row r="526" spans="1:19" ht="16.5" customHeight="1" thickBot="1">
      <c r="A526" s="213" t="str">
        <f>'6a-Hierarchy'!$G$4</f>
        <v>Alt.3</v>
      </c>
      <c r="B526" s="222" t="s">
        <v>8</v>
      </c>
      <c r="C526" s="222" t="s">
        <v>7</v>
      </c>
      <c r="D526" s="222" t="s">
        <v>6</v>
      </c>
      <c r="E526" s="222" t="s">
        <v>5</v>
      </c>
      <c r="F526" s="222" t="s">
        <v>4</v>
      </c>
      <c r="G526" s="222" t="s">
        <v>3</v>
      </c>
      <c r="H526" s="222" t="s">
        <v>2</v>
      </c>
      <c r="I526" s="222" t="s">
        <v>1</v>
      </c>
      <c r="J526" s="222" t="s">
        <v>0</v>
      </c>
      <c r="K526" s="222" t="s">
        <v>1</v>
      </c>
      <c r="L526" s="222" t="s">
        <v>2</v>
      </c>
      <c r="M526" s="222" t="s">
        <v>3</v>
      </c>
      <c r="N526" s="222" t="s">
        <v>4</v>
      </c>
      <c r="O526" s="222" t="s">
        <v>5</v>
      </c>
      <c r="P526" s="222" t="s">
        <v>6</v>
      </c>
      <c r="Q526" s="222" t="s">
        <v>7</v>
      </c>
      <c r="R526" s="222" t="s">
        <v>8</v>
      </c>
      <c r="S526" s="214" t="e">
        <f>'6a-Hierarchy'!#REF!</f>
        <v>#REF!</v>
      </c>
    </row>
    <row r="527" spans="1:19" ht="7.5" customHeight="1" thickBot="1">
      <c r="A527" s="215"/>
      <c r="B527" s="216"/>
      <c r="C527" s="216"/>
      <c r="D527" s="216"/>
      <c r="E527" s="216"/>
      <c r="F527" s="216"/>
      <c r="G527" s="216"/>
      <c r="H527" s="216"/>
      <c r="I527" s="216"/>
      <c r="J527" s="216"/>
      <c r="K527" s="216"/>
      <c r="L527" s="216"/>
      <c r="M527" s="216"/>
      <c r="N527" s="216"/>
      <c r="O527" s="216"/>
      <c r="P527" s="216"/>
      <c r="Q527" s="216"/>
      <c r="R527" s="216"/>
      <c r="S527" s="215"/>
    </row>
    <row r="528" spans="1:19" ht="18.75" customHeight="1" thickBot="1">
      <c r="A528" s="217"/>
      <c r="B528" s="218"/>
      <c r="C528" s="218"/>
      <c r="D528" s="218"/>
      <c r="E528" s="218"/>
      <c r="F528" s="218"/>
      <c r="G528" s="219"/>
      <c r="H528" s="219"/>
      <c r="I528" s="220">
        <f>'1b-Sub-Performance'!A41</f>
        <v>0</v>
      </c>
      <c r="J528" s="219" t="s">
        <v>14</v>
      </c>
      <c r="K528" s="219" t="s">
        <v>16</v>
      </c>
      <c r="L528" s="219"/>
      <c r="M528" s="219"/>
      <c r="N528" s="218"/>
      <c r="O528" s="218"/>
      <c r="P528" s="218"/>
      <c r="Q528" s="218"/>
      <c r="R528" s="218"/>
      <c r="S528" s="221"/>
    </row>
    <row r="529" spans="1:19" ht="33.75" customHeight="1" thickBot="1">
      <c r="A529" s="231" t="s">
        <v>227</v>
      </c>
      <c r="B529" s="232" t="s">
        <v>222</v>
      </c>
      <c r="C529" s="233"/>
      <c r="D529" s="232" t="s">
        <v>223</v>
      </c>
      <c r="E529" s="233"/>
      <c r="F529" s="232" t="s">
        <v>224</v>
      </c>
      <c r="G529" s="233"/>
      <c r="H529" s="232" t="s">
        <v>225</v>
      </c>
      <c r="I529" s="233"/>
      <c r="J529" s="232" t="s">
        <v>226</v>
      </c>
      <c r="K529" s="233"/>
      <c r="L529" s="232" t="s">
        <v>225</v>
      </c>
      <c r="M529" s="233"/>
      <c r="N529" s="232" t="s">
        <v>224</v>
      </c>
      <c r="O529" s="233"/>
      <c r="P529" s="232" t="s">
        <v>223</v>
      </c>
      <c r="Q529" s="233"/>
      <c r="R529" s="232" t="s">
        <v>222</v>
      </c>
      <c r="S529" s="234" t="s">
        <v>227</v>
      </c>
    </row>
    <row r="530" spans="1:19" ht="17.100000000000001" customHeight="1">
      <c r="A530" s="201" t="str">
        <f>'6a-Hierarchy'!$D$4</f>
        <v>Original</v>
      </c>
      <c r="B530" s="169" t="s">
        <v>8</v>
      </c>
      <c r="C530" s="169" t="s">
        <v>7</v>
      </c>
      <c r="D530" s="169" t="s">
        <v>6</v>
      </c>
      <c r="E530" s="169" t="s">
        <v>5</v>
      </c>
      <c r="F530" s="169" t="s">
        <v>4</v>
      </c>
      <c r="G530" s="169" t="s">
        <v>3</v>
      </c>
      <c r="H530" s="169" t="s">
        <v>2</v>
      </c>
      <c r="I530" s="169" t="s">
        <v>1</v>
      </c>
      <c r="J530" s="169" t="s">
        <v>0</v>
      </c>
      <c r="K530" s="169" t="s">
        <v>1</v>
      </c>
      <c r="L530" s="169" t="s">
        <v>2</v>
      </c>
      <c r="M530" s="169" t="s">
        <v>3</v>
      </c>
      <c r="N530" s="169" t="s">
        <v>4</v>
      </c>
      <c r="O530" s="169" t="s">
        <v>5</v>
      </c>
      <c r="P530" s="169" t="s">
        <v>6</v>
      </c>
      <c r="Q530" s="169" t="s">
        <v>7</v>
      </c>
      <c r="R530" s="169" t="s">
        <v>8</v>
      </c>
      <c r="S530" s="170" t="str">
        <f>'6a-Hierarchy'!$E$4</f>
        <v>Alt.1</v>
      </c>
    </row>
    <row r="531" spans="1:19" ht="16.5" customHeight="1">
      <c r="A531" s="202"/>
      <c r="B531" s="46" t="s">
        <v>8</v>
      </c>
      <c r="C531" s="46" t="s">
        <v>7</v>
      </c>
      <c r="D531" s="46" t="s">
        <v>6</v>
      </c>
      <c r="E531" s="46" t="s">
        <v>5</v>
      </c>
      <c r="F531" s="46" t="s">
        <v>4</v>
      </c>
      <c r="G531" s="46" t="s">
        <v>3</v>
      </c>
      <c r="H531" s="46" t="s">
        <v>2</v>
      </c>
      <c r="I531" s="46" t="s">
        <v>1</v>
      </c>
      <c r="J531" s="46" t="s">
        <v>0</v>
      </c>
      <c r="K531" s="46" t="s">
        <v>1</v>
      </c>
      <c r="L531" s="46" t="s">
        <v>2</v>
      </c>
      <c r="M531" s="46" t="s">
        <v>3</v>
      </c>
      <c r="N531" s="46" t="s">
        <v>4</v>
      </c>
      <c r="O531" s="46" t="s">
        <v>5</v>
      </c>
      <c r="P531" s="46" t="s">
        <v>6</v>
      </c>
      <c r="Q531" s="46" t="s">
        <v>7</v>
      </c>
      <c r="R531" s="46" t="s">
        <v>8</v>
      </c>
      <c r="S531" s="203" t="str">
        <f>'6a-Hierarchy'!$F$4</f>
        <v>Alt.2</v>
      </c>
    </row>
    <row r="532" spans="1:19" ht="16.5" customHeight="1">
      <c r="A532" s="202"/>
      <c r="B532" s="46" t="s">
        <v>8</v>
      </c>
      <c r="C532" s="46" t="s">
        <v>7</v>
      </c>
      <c r="D532" s="46" t="s">
        <v>6</v>
      </c>
      <c r="E532" s="46" t="s">
        <v>5</v>
      </c>
      <c r="F532" s="46" t="s">
        <v>4</v>
      </c>
      <c r="G532" s="46" t="s">
        <v>3</v>
      </c>
      <c r="H532" s="46" t="s">
        <v>2</v>
      </c>
      <c r="I532" s="46" t="s">
        <v>1</v>
      </c>
      <c r="J532" s="46" t="s">
        <v>0</v>
      </c>
      <c r="K532" s="46" t="s">
        <v>1</v>
      </c>
      <c r="L532" s="46" t="s">
        <v>2</v>
      </c>
      <c r="M532" s="46" t="s">
        <v>3</v>
      </c>
      <c r="N532" s="46" t="s">
        <v>4</v>
      </c>
      <c r="O532" s="46" t="s">
        <v>5</v>
      </c>
      <c r="P532" s="46" t="s">
        <v>6</v>
      </c>
      <c r="Q532" s="46" t="s">
        <v>7</v>
      </c>
      <c r="R532" s="46" t="s">
        <v>8</v>
      </c>
      <c r="S532" s="203" t="str">
        <f>'6a-Hierarchy'!$G$4</f>
        <v>Alt.3</v>
      </c>
    </row>
    <row r="533" spans="1:19" ht="16.5" customHeight="1" thickBot="1">
      <c r="A533" s="205"/>
      <c r="B533" s="206" t="s">
        <v>8</v>
      </c>
      <c r="C533" s="206" t="s">
        <v>7</v>
      </c>
      <c r="D533" s="206" t="s">
        <v>6</v>
      </c>
      <c r="E533" s="206" t="s">
        <v>5</v>
      </c>
      <c r="F533" s="206" t="s">
        <v>4</v>
      </c>
      <c r="G533" s="206" t="s">
        <v>3</v>
      </c>
      <c r="H533" s="206" t="s">
        <v>2</v>
      </c>
      <c r="I533" s="206" t="s">
        <v>1</v>
      </c>
      <c r="J533" s="206" t="s">
        <v>0</v>
      </c>
      <c r="K533" s="206" t="s">
        <v>1</v>
      </c>
      <c r="L533" s="206" t="s">
        <v>2</v>
      </c>
      <c r="M533" s="206" t="s">
        <v>3</v>
      </c>
      <c r="N533" s="206" t="s">
        <v>4</v>
      </c>
      <c r="O533" s="206" t="s">
        <v>5</v>
      </c>
      <c r="P533" s="206" t="s">
        <v>6</v>
      </c>
      <c r="Q533" s="206" t="s">
        <v>7</v>
      </c>
      <c r="R533" s="206" t="s">
        <v>8</v>
      </c>
      <c r="S533" s="207" t="e">
        <f>'6a-Hierarchy'!#REF!</f>
        <v>#REF!</v>
      </c>
    </row>
    <row r="534" spans="1:19" ht="16.5" customHeight="1">
      <c r="A534" s="201" t="str">
        <f>'6a-Hierarchy'!$E$4</f>
        <v>Alt.1</v>
      </c>
      <c r="B534" s="169" t="s">
        <v>8</v>
      </c>
      <c r="C534" s="169" t="s">
        <v>7</v>
      </c>
      <c r="D534" s="169" t="s">
        <v>6</v>
      </c>
      <c r="E534" s="169" t="s">
        <v>5</v>
      </c>
      <c r="F534" s="169" t="s">
        <v>4</v>
      </c>
      <c r="G534" s="169" t="s">
        <v>3</v>
      </c>
      <c r="H534" s="169" t="s">
        <v>2</v>
      </c>
      <c r="I534" s="169" t="s">
        <v>1</v>
      </c>
      <c r="J534" s="169" t="s">
        <v>0</v>
      </c>
      <c r="K534" s="169" t="s">
        <v>1</v>
      </c>
      <c r="L534" s="169" t="s">
        <v>2</v>
      </c>
      <c r="M534" s="169" t="s">
        <v>3</v>
      </c>
      <c r="N534" s="169" t="s">
        <v>4</v>
      </c>
      <c r="O534" s="169" t="s">
        <v>5</v>
      </c>
      <c r="P534" s="169" t="s">
        <v>6</v>
      </c>
      <c r="Q534" s="169" t="s">
        <v>7</v>
      </c>
      <c r="R534" s="169" t="s">
        <v>8</v>
      </c>
      <c r="S534" s="170" t="str">
        <f>'6a-Hierarchy'!$F$4</f>
        <v>Alt.2</v>
      </c>
    </row>
    <row r="535" spans="1:19" ht="16.5" customHeight="1">
      <c r="A535" s="202"/>
      <c r="B535" s="46" t="s">
        <v>8</v>
      </c>
      <c r="C535" s="46" t="s">
        <v>7</v>
      </c>
      <c r="D535" s="46" t="s">
        <v>6</v>
      </c>
      <c r="E535" s="46" t="s">
        <v>5</v>
      </c>
      <c r="F535" s="46" t="s">
        <v>4</v>
      </c>
      <c r="G535" s="46" t="s">
        <v>3</v>
      </c>
      <c r="H535" s="46" t="s">
        <v>2</v>
      </c>
      <c r="I535" s="46" t="s">
        <v>1</v>
      </c>
      <c r="J535" s="46" t="s">
        <v>0</v>
      </c>
      <c r="K535" s="46" t="s">
        <v>1</v>
      </c>
      <c r="L535" s="46" t="s">
        <v>2</v>
      </c>
      <c r="M535" s="46" t="s">
        <v>3</v>
      </c>
      <c r="N535" s="46" t="s">
        <v>4</v>
      </c>
      <c r="O535" s="46" t="s">
        <v>5</v>
      </c>
      <c r="P535" s="46" t="s">
        <v>6</v>
      </c>
      <c r="Q535" s="46" t="s">
        <v>7</v>
      </c>
      <c r="R535" s="46" t="s">
        <v>8</v>
      </c>
      <c r="S535" s="203" t="str">
        <f>'6a-Hierarchy'!$G$4</f>
        <v>Alt.3</v>
      </c>
    </row>
    <row r="536" spans="1:19" ht="16.5" customHeight="1" thickBot="1">
      <c r="A536" s="205"/>
      <c r="B536" s="206" t="s">
        <v>8</v>
      </c>
      <c r="C536" s="206" t="s">
        <v>7</v>
      </c>
      <c r="D536" s="206" t="s">
        <v>6</v>
      </c>
      <c r="E536" s="206" t="s">
        <v>5</v>
      </c>
      <c r="F536" s="206" t="s">
        <v>4</v>
      </c>
      <c r="G536" s="206" t="s">
        <v>3</v>
      </c>
      <c r="H536" s="206" t="s">
        <v>2</v>
      </c>
      <c r="I536" s="206" t="s">
        <v>1</v>
      </c>
      <c r="J536" s="206" t="s">
        <v>0</v>
      </c>
      <c r="K536" s="206" t="s">
        <v>1</v>
      </c>
      <c r="L536" s="206" t="s">
        <v>2</v>
      </c>
      <c r="M536" s="206" t="s">
        <v>3</v>
      </c>
      <c r="N536" s="206" t="s">
        <v>4</v>
      </c>
      <c r="O536" s="206" t="s">
        <v>5</v>
      </c>
      <c r="P536" s="206" t="s">
        <v>6</v>
      </c>
      <c r="Q536" s="206" t="s">
        <v>7</v>
      </c>
      <c r="R536" s="206" t="s">
        <v>8</v>
      </c>
      <c r="S536" s="207" t="e">
        <f>'6a-Hierarchy'!#REF!</f>
        <v>#REF!</v>
      </c>
    </row>
    <row r="537" spans="1:19" ht="16.5" customHeight="1">
      <c r="A537" s="201" t="str">
        <f>'6a-Hierarchy'!$F$4</f>
        <v>Alt.2</v>
      </c>
      <c r="B537" s="169" t="s">
        <v>8</v>
      </c>
      <c r="C537" s="169" t="s">
        <v>7</v>
      </c>
      <c r="D537" s="169" t="s">
        <v>6</v>
      </c>
      <c r="E537" s="169" t="s">
        <v>5</v>
      </c>
      <c r="F537" s="169" t="s">
        <v>4</v>
      </c>
      <c r="G537" s="169" t="s">
        <v>3</v>
      </c>
      <c r="H537" s="169" t="s">
        <v>2</v>
      </c>
      <c r="I537" s="169" t="s">
        <v>1</v>
      </c>
      <c r="J537" s="169" t="s">
        <v>0</v>
      </c>
      <c r="K537" s="169" t="s">
        <v>1</v>
      </c>
      <c r="L537" s="169" t="s">
        <v>2</v>
      </c>
      <c r="M537" s="169" t="s">
        <v>3</v>
      </c>
      <c r="N537" s="169" t="s">
        <v>4</v>
      </c>
      <c r="O537" s="169" t="s">
        <v>5</v>
      </c>
      <c r="P537" s="169" t="s">
        <v>6</v>
      </c>
      <c r="Q537" s="169" t="s">
        <v>7</v>
      </c>
      <c r="R537" s="169" t="s">
        <v>8</v>
      </c>
      <c r="S537" s="170" t="str">
        <f>'6a-Hierarchy'!$G$4</f>
        <v>Alt.3</v>
      </c>
    </row>
    <row r="538" spans="1:19" ht="16.5" customHeight="1" thickBot="1">
      <c r="A538" s="205"/>
      <c r="B538" s="206" t="s">
        <v>8</v>
      </c>
      <c r="C538" s="206" t="s">
        <v>7</v>
      </c>
      <c r="D538" s="206" t="s">
        <v>6</v>
      </c>
      <c r="E538" s="206" t="s">
        <v>5</v>
      </c>
      <c r="F538" s="206" t="s">
        <v>4</v>
      </c>
      <c r="G538" s="206" t="s">
        <v>3</v>
      </c>
      <c r="H538" s="206" t="s">
        <v>2</v>
      </c>
      <c r="I538" s="206" t="s">
        <v>1</v>
      </c>
      <c r="J538" s="206" t="s">
        <v>0</v>
      </c>
      <c r="K538" s="206" t="s">
        <v>1</v>
      </c>
      <c r="L538" s="206" t="s">
        <v>2</v>
      </c>
      <c r="M538" s="206" t="s">
        <v>3</v>
      </c>
      <c r="N538" s="206" t="s">
        <v>4</v>
      </c>
      <c r="O538" s="206" t="s">
        <v>5</v>
      </c>
      <c r="P538" s="206" t="s">
        <v>6</v>
      </c>
      <c r="Q538" s="206" t="s">
        <v>7</v>
      </c>
      <c r="R538" s="206" t="s">
        <v>8</v>
      </c>
      <c r="S538" s="207" t="e">
        <f>'6a-Hierarchy'!#REF!</f>
        <v>#REF!</v>
      </c>
    </row>
    <row r="539" spans="1:19" ht="16.5" customHeight="1" thickBot="1">
      <c r="A539" s="213" t="str">
        <f>'6a-Hierarchy'!$G$4</f>
        <v>Alt.3</v>
      </c>
      <c r="B539" s="222" t="s">
        <v>8</v>
      </c>
      <c r="C539" s="222" t="s">
        <v>7</v>
      </c>
      <c r="D539" s="222" t="s">
        <v>6</v>
      </c>
      <c r="E539" s="222" t="s">
        <v>5</v>
      </c>
      <c r="F539" s="222" t="s">
        <v>4</v>
      </c>
      <c r="G539" s="222" t="s">
        <v>3</v>
      </c>
      <c r="H539" s="222" t="s">
        <v>2</v>
      </c>
      <c r="I539" s="222" t="s">
        <v>1</v>
      </c>
      <c r="J539" s="222" t="s">
        <v>0</v>
      </c>
      <c r="K539" s="222" t="s">
        <v>1</v>
      </c>
      <c r="L539" s="222" t="s">
        <v>2</v>
      </c>
      <c r="M539" s="222" t="s">
        <v>3</v>
      </c>
      <c r="N539" s="222" t="s">
        <v>4</v>
      </c>
      <c r="O539" s="222" t="s">
        <v>5</v>
      </c>
      <c r="P539" s="222" t="s">
        <v>6</v>
      </c>
      <c r="Q539" s="222" t="s">
        <v>7</v>
      </c>
      <c r="R539" s="222" t="s">
        <v>8</v>
      </c>
      <c r="S539" s="214" t="e">
        <f>'6a-Hierarchy'!#REF!</f>
        <v>#REF!</v>
      </c>
    </row>
    <row r="540" spans="1:19" ht="7.5" customHeight="1" thickBot="1">
      <c r="A540" s="215"/>
      <c r="B540" s="216"/>
      <c r="C540" s="216"/>
      <c r="D540" s="216"/>
      <c r="E540" s="216"/>
      <c r="F540" s="216"/>
      <c r="G540" s="216"/>
      <c r="H540" s="216"/>
      <c r="I540" s="216"/>
      <c r="J540" s="216"/>
      <c r="K540" s="216"/>
      <c r="L540" s="216"/>
      <c r="M540" s="216"/>
      <c r="N540" s="216"/>
      <c r="O540" s="216"/>
      <c r="P540" s="216"/>
      <c r="Q540" s="216"/>
      <c r="R540" s="216"/>
      <c r="S540" s="215"/>
    </row>
    <row r="541" spans="1:19" ht="18.75" customHeight="1" thickBot="1">
      <c r="A541" s="217"/>
      <c r="B541" s="218"/>
      <c r="C541" s="218"/>
      <c r="D541" s="218"/>
      <c r="E541" s="218"/>
      <c r="F541" s="218"/>
      <c r="G541" s="219"/>
      <c r="H541" s="219"/>
      <c r="I541" s="220">
        <f>'1b-Sub-Performance'!A42</f>
        <v>0</v>
      </c>
      <c r="J541" s="219" t="s">
        <v>14</v>
      </c>
      <c r="K541" s="219" t="s">
        <v>16</v>
      </c>
      <c r="L541" s="219"/>
      <c r="M541" s="219"/>
      <c r="N541" s="218"/>
      <c r="O541" s="218"/>
      <c r="P541" s="218"/>
      <c r="Q541" s="218"/>
      <c r="R541" s="218"/>
      <c r="S541" s="221"/>
    </row>
    <row r="542" spans="1:19" ht="33.75" customHeight="1" thickBot="1">
      <c r="A542" s="231" t="s">
        <v>227</v>
      </c>
      <c r="B542" s="232" t="s">
        <v>222</v>
      </c>
      <c r="C542" s="233"/>
      <c r="D542" s="232" t="s">
        <v>223</v>
      </c>
      <c r="E542" s="233"/>
      <c r="F542" s="232" t="s">
        <v>224</v>
      </c>
      <c r="G542" s="233"/>
      <c r="H542" s="232" t="s">
        <v>225</v>
      </c>
      <c r="I542" s="233"/>
      <c r="J542" s="232" t="s">
        <v>226</v>
      </c>
      <c r="K542" s="233"/>
      <c r="L542" s="232" t="s">
        <v>225</v>
      </c>
      <c r="M542" s="233"/>
      <c r="N542" s="232" t="s">
        <v>224</v>
      </c>
      <c r="O542" s="233"/>
      <c r="P542" s="232" t="s">
        <v>223</v>
      </c>
      <c r="Q542" s="233"/>
      <c r="R542" s="232" t="s">
        <v>222</v>
      </c>
      <c r="S542" s="234" t="s">
        <v>227</v>
      </c>
    </row>
    <row r="543" spans="1:19" ht="17.100000000000001" customHeight="1">
      <c r="A543" s="201" t="str">
        <f>'6a-Hierarchy'!$D$4</f>
        <v>Original</v>
      </c>
      <c r="B543" s="169" t="s">
        <v>8</v>
      </c>
      <c r="C543" s="169" t="s">
        <v>7</v>
      </c>
      <c r="D543" s="169" t="s">
        <v>6</v>
      </c>
      <c r="E543" s="169" t="s">
        <v>5</v>
      </c>
      <c r="F543" s="169" t="s">
        <v>4</v>
      </c>
      <c r="G543" s="169" t="s">
        <v>3</v>
      </c>
      <c r="H543" s="169" t="s">
        <v>2</v>
      </c>
      <c r="I543" s="169" t="s">
        <v>1</v>
      </c>
      <c r="J543" s="169" t="s">
        <v>0</v>
      </c>
      <c r="K543" s="169" t="s">
        <v>1</v>
      </c>
      <c r="L543" s="169" t="s">
        <v>2</v>
      </c>
      <c r="M543" s="169" t="s">
        <v>3</v>
      </c>
      <c r="N543" s="169" t="s">
        <v>4</v>
      </c>
      <c r="O543" s="169" t="s">
        <v>5</v>
      </c>
      <c r="P543" s="169" t="s">
        <v>6</v>
      </c>
      <c r="Q543" s="169" t="s">
        <v>7</v>
      </c>
      <c r="R543" s="169" t="s">
        <v>8</v>
      </c>
      <c r="S543" s="170" t="str">
        <f>'6a-Hierarchy'!$E$4</f>
        <v>Alt.1</v>
      </c>
    </row>
    <row r="544" spans="1:19" ht="16.5" customHeight="1">
      <c r="A544" s="202"/>
      <c r="B544" s="46" t="s">
        <v>8</v>
      </c>
      <c r="C544" s="46" t="s">
        <v>7</v>
      </c>
      <c r="D544" s="46" t="s">
        <v>6</v>
      </c>
      <c r="E544" s="46" t="s">
        <v>5</v>
      </c>
      <c r="F544" s="46" t="s">
        <v>4</v>
      </c>
      <c r="G544" s="46" t="s">
        <v>3</v>
      </c>
      <c r="H544" s="46" t="s">
        <v>2</v>
      </c>
      <c r="I544" s="46" t="s">
        <v>1</v>
      </c>
      <c r="J544" s="46" t="s">
        <v>0</v>
      </c>
      <c r="K544" s="46" t="s">
        <v>1</v>
      </c>
      <c r="L544" s="46" t="s">
        <v>2</v>
      </c>
      <c r="M544" s="46" t="s">
        <v>3</v>
      </c>
      <c r="N544" s="46" t="s">
        <v>4</v>
      </c>
      <c r="O544" s="46" t="s">
        <v>5</v>
      </c>
      <c r="P544" s="46" t="s">
        <v>6</v>
      </c>
      <c r="Q544" s="46" t="s">
        <v>7</v>
      </c>
      <c r="R544" s="46" t="s">
        <v>8</v>
      </c>
      <c r="S544" s="203" t="str">
        <f>'6a-Hierarchy'!$F$4</f>
        <v>Alt.2</v>
      </c>
    </row>
    <row r="545" spans="1:19" ht="16.5" customHeight="1">
      <c r="A545" s="202"/>
      <c r="B545" s="46" t="s">
        <v>8</v>
      </c>
      <c r="C545" s="46" t="s">
        <v>7</v>
      </c>
      <c r="D545" s="46" t="s">
        <v>6</v>
      </c>
      <c r="E545" s="46" t="s">
        <v>5</v>
      </c>
      <c r="F545" s="46" t="s">
        <v>4</v>
      </c>
      <c r="G545" s="46" t="s">
        <v>3</v>
      </c>
      <c r="H545" s="46" t="s">
        <v>2</v>
      </c>
      <c r="I545" s="46" t="s">
        <v>1</v>
      </c>
      <c r="J545" s="46" t="s">
        <v>0</v>
      </c>
      <c r="K545" s="46" t="s">
        <v>1</v>
      </c>
      <c r="L545" s="46" t="s">
        <v>2</v>
      </c>
      <c r="M545" s="46" t="s">
        <v>3</v>
      </c>
      <c r="N545" s="46" t="s">
        <v>4</v>
      </c>
      <c r="O545" s="46" t="s">
        <v>5</v>
      </c>
      <c r="P545" s="46" t="s">
        <v>6</v>
      </c>
      <c r="Q545" s="46" t="s">
        <v>7</v>
      </c>
      <c r="R545" s="46" t="s">
        <v>8</v>
      </c>
      <c r="S545" s="203" t="str">
        <f>'6a-Hierarchy'!$G$4</f>
        <v>Alt.3</v>
      </c>
    </row>
    <row r="546" spans="1:19" ht="16.5" customHeight="1" thickBot="1">
      <c r="A546" s="205"/>
      <c r="B546" s="206" t="s">
        <v>8</v>
      </c>
      <c r="C546" s="206" t="s">
        <v>7</v>
      </c>
      <c r="D546" s="206" t="s">
        <v>6</v>
      </c>
      <c r="E546" s="206" t="s">
        <v>5</v>
      </c>
      <c r="F546" s="206" t="s">
        <v>4</v>
      </c>
      <c r="G546" s="206" t="s">
        <v>3</v>
      </c>
      <c r="H546" s="206" t="s">
        <v>2</v>
      </c>
      <c r="I546" s="206" t="s">
        <v>1</v>
      </c>
      <c r="J546" s="206" t="s">
        <v>0</v>
      </c>
      <c r="K546" s="206" t="s">
        <v>1</v>
      </c>
      <c r="L546" s="206" t="s">
        <v>2</v>
      </c>
      <c r="M546" s="206" t="s">
        <v>3</v>
      </c>
      <c r="N546" s="206" t="s">
        <v>4</v>
      </c>
      <c r="O546" s="206" t="s">
        <v>5</v>
      </c>
      <c r="P546" s="206" t="s">
        <v>6</v>
      </c>
      <c r="Q546" s="206" t="s">
        <v>7</v>
      </c>
      <c r="R546" s="206" t="s">
        <v>8</v>
      </c>
      <c r="S546" s="207" t="e">
        <f>'6a-Hierarchy'!#REF!</f>
        <v>#REF!</v>
      </c>
    </row>
    <row r="547" spans="1:19" ht="16.5" customHeight="1">
      <c r="A547" s="201" t="str">
        <f>'6a-Hierarchy'!$E$4</f>
        <v>Alt.1</v>
      </c>
      <c r="B547" s="169" t="s">
        <v>8</v>
      </c>
      <c r="C547" s="169" t="s">
        <v>7</v>
      </c>
      <c r="D547" s="169" t="s">
        <v>6</v>
      </c>
      <c r="E547" s="169" t="s">
        <v>5</v>
      </c>
      <c r="F547" s="169" t="s">
        <v>4</v>
      </c>
      <c r="G547" s="169" t="s">
        <v>3</v>
      </c>
      <c r="H547" s="169" t="s">
        <v>2</v>
      </c>
      <c r="I547" s="169" t="s">
        <v>1</v>
      </c>
      <c r="J547" s="169" t="s">
        <v>0</v>
      </c>
      <c r="K547" s="169" t="s">
        <v>1</v>
      </c>
      <c r="L547" s="169" t="s">
        <v>2</v>
      </c>
      <c r="M547" s="169" t="s">
        <v>3</v>
      </c>
      <c r="N547" s="169" t="s">
        <v>4</v>
      </c>
      <c r="O547" s="169" t="s">
        <v>5</v>
      </c>
      <c r="P547" s="169" t="s">
        <v>6</v>
      </c>
      <c r="Q547" s="169" t="s">
        <v>7</v>
      </c>
      <c r="R547" s="169" t="s">
        <v>8</v>
      </c>
      <c r="S547" s="170" t="str">
        <f>'6a-Hierarchy'!$F$4</f>
        <v>Alt.2</v>
      </c>
    </row>
    <row r="548" spans="1:19" ht="16.5" customHeight="1">
      <c r="A548" s="202"/>
      <c r="B548" s="46" t="s">
        <v>8</v>
      </c>
      <c r="C548" s="46" t="s">
        <v>7</v>
      </c>
      <c r="D548" s="46" t="s">
        <v>6</v>
      </c>
      <c r="E548" s="46" t="s">
        <v>5</v>
      </c>
      <c r="F548" s="46" t="s">
        <v>4</v>
      </c>
      <c r="G548" s="46" t="s">
        <v>3</v>
      </c>
      <c r="H548" s="46" t="s">
        <v>2</v>
      </c>
      <c r="I548" s="46" t="s">
        <v>1</v>
      </c>
      <c r="J548" s="46" t="s">
        <v>0</v>
      </c>
      <c r="K548" s="46" t="s">
        <v>1</v>
      </c>
      <c r="L548" s="46" t="s">
        <v>2</v>
      </c>
      <c r="M548" s="46" t="s">
        <v>3</v>
      </c>
      <c r="N548" s="46" t="s">
        <v>4</v>
      </c>
      <c r="O548" s="46" t="s">
        <v>5</v>
      </c>
      <c r="P548" s="46" t="s">
        <v>6</v>
      </c>
      <c r="Q548" s="46" t="s">
        <v>7</v>
      </c>
      <c r="R548" s="46" t="s">
        <v>8</v>
      </c>
      <c r="S548" s="203" t="str">
        <f>'6a-Hierarchy'!$G$4</f>
        <v>Alt.3</v>
      </c>
    </row>
    <row r="549" spans="1:19" ht="16.5" customHeight="1" thickBot="1">
      <c r="A549" s="205"/>
      <c r="B549" s="206" t="s">
        <v>8</v>
      </c>
      <c r="C549" s="206" t="s">
        <v>7</v>
      </c>
      <c r="D549" s="206" t="s">
        <v>6</v>
      </c>
      <c r="E549" s="206" t="s">
        <v>5</v>
      </c>
      <c r="F549" s="206" t="s">
        <v>4</v>
      </c>
      <c r="G549" s="206" t="s">
        <v>3</v>
      </c>
      <c r="H549" s="206" t="s">
        <v>2</v>
      </c>
      <c r="I549" s="206" t="s">
        <v>1</v>
      </c>
      <c r="J549" s="206" t="s">
        <v>0</v>
      </c>
      <c r="K549" s="206" t="s">
        <v>1</v>
      </c>
      <c r="L549" s="206" t="s">
        <v>2</v>
      </c>
      <c r="M549" s="206" t="s">
        <v>3</v>
      </c>
      <c r="N549" s="206" t="s">
        <v>4</v>
      </c>
      <c r="O549" s="206" t="s">
        <v>5</v>
      </c>
      <c r="P549" s="206" t="s">
        <v>6</v>
      </c>
      <c r="Q549" s="206" t="s">
        <v>7</v>
      </c>
      <c r="R549" s="206" t="s">
        <v>8</v>
      </c>
      <c r="S549" s="207" t="e">
        <f>'6a-Hierarchy'!#REF!</f>
        <v>#REF!</v>
      </c>
    </row>
    <row r="550" spans="1:19" ht="16.5" customHeight="1">
      <c r="A550" s="201" t="str">
        <f>'6a-Hierarchy'!$F$4</f>
        <v>Alt.2</v>
      </c>
      <c r="B550" s="169" t="s">
        <v>8</v>
      </c>
      <c r="C550" s="169" t="s">
        <v>7</v>
      </c>
      <c r="D550" s="169" t="s">
        <v>6</v>
      </c>
      <c r="E550" s="169" t="s">
        <v>5</v>
      </c>
      <c r="F550" s="169" t="s">
        <v>4</v>
      </c>
      <c r="G550" s="169" t="s">
        <v>3</v>
      </c>
      <c r="H550" s="169" t="s">
        <v>2</v>
      </c>
      <c r="I550" s="169" t="s">
        <v>1</v>
      </c>
      <c r="J550" s="169" t="s">
        <v>0</v>
      </c>
      <c r="K550" s="169" t="s">
        <v>1</v>
      </c>
      <c r="L550" s="169" t="s">
        <v>2</v>
      </c>
      <c r="M550" s="169" t="s">
        <v>3</v>
      </c>
      <c r="N550" s="169" t="s">
        <v>4</v>
      </c>
      <c r="O550" s="169" t="s">
        <v>5</v>
      </c>
      <c r="P550" s="169" t="s">
        <v>6</v>
      </c>
      <c r="Q550" s="169" t="s">
        <v>7</v>
      </c>
      <c r="R550" s="169" t="s">
        <v>8</v>
      </c>
      <c r="S550" s="170" t="str">
        <f>'6a-Hierarchy'!$G$4</f>
        <v>Alt.3</v>
      </c>
    </row>
    <row r="551" spans="1:19" ht="16.5" customHeight="1" thickBot="1">
      <c r="A551" s="205"/>
      <c r="B551" s="206" t="s">
        <v>8</v>
      </c>
      <c r="C551" s="206" t="s">
        <v>7</v>
      </c>
      <c r="D551" s="206" t="s">
        <v>6</v>
      </c>
      <c r="E551" s="206" t="s">
        <v>5</v>
      </c>
      <c r="F551" s="206" t="s">
        <v>4</v>
      </c>
      <c r="G551" s="206" t="s">
        <v>3</v>
      </c>
      <c r="H551" s="206" t="s">
        <v>2</v>
      </c>
      <c r="I551" s="206" t="s">
        <v>1</v>
      </c>
      <c r="J551" s="206" t="s">
        <v>0</v>
      </c>
      <c r="K551" s="206" t="s">
        <v>1</v>
      </c>
      <c r="L551" s="206" t="s">
        <v>2</v>
      </c>
      <c r="M551" s="206" t="s">
        <v>3</v>
      </c>
      <c r="N551" s="206" t="s">
        <v>4</v>
      </c>
      <c r="O551" s="206" t="s">
        <v>5</v>
      </c>
      <c r="P551" s="206" t="s">
        <v>6</v>
      </c>
      <c r="Q551" s="206" t="s">
        <v>7</v>
      </c>
      <c r="R551" s="206" t="s">
        <v>8</v>
      </c>
      <c r="S551" s="207" t="e">
        <f>'6a-Hierarchy'!#REF!</f>
        <v>#REF!</v>
      </c>
    </row>
    <row r="552" spans="1:19" ht="16.5" customHeight="1" thickBot="1">
      <c r="A552" s="213" t="str">
        <f>'6a-Hierarchy'!$G$4</f>
        <v>Alt.3</v>
      </c>
      <c r="B552" s="222" t="s">
        <v>8</v>
      </c>
      <c r="C552" s="222" t="s">
        <v>7</v>
      </c>
      <c r="D552" s="222" t="s">
        <v>6</v>
      </c>
      <c r="E552" s="222" t="s">
        <v>5</v>
      </c>
      <c r="F552" s="222" t="s">
        <v>4</v>
      </c>
      <c r="G552" s="222" t="s">
        <v>3</v>
      </c>
      <c r="H552" s="222" t="s">
        <v>2</v>
      </c>
      <c r="I552" s="222" t="s">
        <v>1</v>
      </c>
      <c r="J552" s="222" t="s">
        <v>0</v>
      </c>
      <c r="K552" s="222" t="s">
        <v>1</v>
      </c>
      <c r="L552" s="222" t="s">
        <v>2</v>
      </c>
      <c r="M552" s="222" t="s">
        <v>3</v>
      </c>
      <c r="N552" s="222" t="s">
        <v>4</v>
      </c>
      <c r="O552" s="222" t="s">
        <v>5</v>
      </c>
      <c r="P552" s="222" t="s">
        <v>6</v>
      </c>
      <c r="Q552" s="222" t="s">
        <v>7</v>
      </c>
      <c r="R552" s="222" t="s">
        <v>8</v>
      </c>
      <c r="S552" s="214" t="e">
        <f>'6a-Hierarchy'!#REF!</f>
        <v>#REF!</v>
      </c>
    </row>
    <row r="553" spans="1:19" ht="7.5" customHeight="1" thickBot="1">
      <c r="A553" s="215"/>
      <c r="B553" s="216"/>
      <c r="C553" s="216"/>
      <c r="D553" s="216"/>
      <c r="E553" s="216"/>
      <c r="F553" s="216"/>
      <c r="G553" s="216"/>
      <c r="H553" s="216"/>
      <c r="I553" s="216"/>
      <c r="J553" s="216"/>
      <c r="K553" s="216"/>
      <c r="L553" s="216"/>
      <c r="M553" s="216"/>
      <c r="N553" s="216"/>
      <c r="O553" s="216"/>
      <c r="P553" s="216"/>
      <c r="Q553" s="216"/>
      <c r="R553" s="216"/>
      <c r="S553" s="215"/>
    </row>
    <row r="554" spans="1:19" ht="18.75" customHeight="1" thickBot="1">
      <c r="A554" s="217"/>
      <c r="B554" s="218"/>
      <c r="C554" s="218"/>
      <c r="D554" s="218"/>
      <c r="E554" s="218"/>
      <c r="F554" s="218"/>
      <c r="G554" s="219"/>
      <c r="H554" s="219"/>
      <c r="I554" s="220" t="e">
        <f>'1b-Sub-Performance'!#REF!</f>
        <v>#REF!</v>
      </c>
      <c r="J554" s="219" t="s">
        <v>14</v>
      </c>
      <c r="K554" s="219" t="s">
        <v>16</v>
      </c>
      <c r="L554" s="219"/>
      <c r="M554" s="219"/>
      <c r="N554" s="218"/>
      <c r="O554" s="218"/>
      <c r="P554" s="218"/>
      <c r="Q554" s="218"/>
      <c r="R554" s="218"/>
      <c r="S554" s="221"/>
    </row>
    <row r="555" spans="1:19" ht="33.75" customHeight="1" thickBot="1">
      <c r="A555" s="231" t="s">
        <v>227</v>
      </c>
      <c r="B555" s="232" t="s">
        <v>222</v>
      </c>
      <c r="C555" s="233"/>
      <c r="D555" s="232" t="s">
        <v>223</v>
      </c>
      <c r="E555" s="233"/>
      <c r="F555" s="232" t="s">
        <v>224</v>
      </c>
      <c r="G555" s="233"/>
      <c r="H555" s="232" t="s">
        <v>225</v>
      </c>
      <c r="I555" s="233"/>
      <c r="J555" s="232" t="s">
        <v>226</v>
      </c>
      <c r="K555" s="233"/>
      <c r="L555" s="232" t="s">
        <v>225</v>
      </c>
      <c r="M555" s="233"/>
      <c r="N555" s="232" t="s">
        <v>224</v>
      </c>
      <c r="O555" s="233"/>
      <c r="P555" s="232" t="s">
        <v>223</v>
      </c>
      <c r="Q555" s="233"/>
      <c r="R555" s="232" t="s">
        <v>222</v>
      </c>
      <c r="S555" s="234" t="s">
        <v>227</v>
      </c>
    </row>
    <row r="556" spans="1:19" ht="17.100000000000001" customHeight="1">
      <c r="A556" s="201" t="str">
        <f>'6a-Hierarchy'!$D$4</f>
        <v>Original</v>
      </c>
      <c r="B556" s="169" t="s">
        <v>8</v>
      </c>
      <c r="C556" s="169" t="s">
        <v>7</v>
      </c>
      <c r="D556" s="169" t="s">
        <v>6</v>
      </c>
      <c r="E556" s="169" t="s">
        <v>5</v>
      </c>
      <c r="F556" s="169" t="s">
        <v>4</v>
      </c>
      <c r="G556" s="169" t="s">
        <v>3</v>
      </c>
      <c r="H556" s="169" t="s">
        <v>2</v>
      </c>
      <c r="I556" s="169" t="s">
        <v>1</v>
      </c>
      <c r="J556" s="169" t="s">
        <v>0</v>
      </c>
      <c r="K556" s="169" t="s">
        <v>1</v>
      </c>
      <c r="L556" s="169" t="s">
        <v>2</v>
      </c>
      <c r="M556" s="169" t="s">
        <v>3</v>
      </c>
      <c r="N556" s="169" t="s">
        <v>4</v>
      </c>
      <c r="O556" s="169" t="s">
        <v>5</v>
      </c>
      <c r="P556" s="169" t="s">
        <v>6</v>
      </c>
      <c r="Q556" s="169" t="s">
        <v>7</v>
      </c>
      <c r="R556" s="169" t="s">
        <v>8</v>
      </c>
      <c r="S556" s="170" t="str">
        <f>'6a-Hierarchy'!$E$4</f>
        <v>Alt.1</v>
      </c>
    </row>
    <row r="557" spans="1:19" ht="16.5" customHeight="1">
      <c r="A557" s="202"/>
      <c r="B557" s="46" t="s">
        <v>8</v>
      </c>
      <c r="C557" s="46" t="s">
        <v>7</v>
      </c>
      <c r="D557" s="46" t="s">
        <v>6</v>
      </c>
      <c r="E557" s="46" t="s">
        <v>5</v>
      </c>
      <c r="F557" s="46" t="s">
        <v>4</v>
      </c>
      <c r="G557" s="46" t="s">
        <v>3</v>
      </c>
      <c r="H557" s="46" t="s">
        <v>2</v>
      </c>
      <c r="I557" s="46" t="s">
        <v>1</v>
      </c>
      <c r="J557" s="46" t="s">
        <v>0</v>
      </c>
      <c r="K557" s="46" t="s">
        <v>1</v>
      </c>
      <c r="L557" s="46" t="s">
        <v>2</v>
      </c>
      <c r="M557" s="46" t="s">
        <v>3</v>
      </c>
      <c r="N557" s="46" t="s">
        <v>4</v>
      </c>
      <c r="O557" s="46" t="s">
        <v>5</v>
      </c>
      <c r="P557" s="46" t="s">
        <v>6</v>
      </c>
      <c r="Q557" s="46" t="s">
        <v>7</v>
      </c>
      <c r="R557" s="46" t="s">
        <v>8</v>
      </c>
      <c r="S557" s="203" t="str">
        <f>'6a-Hierarchy'!$F$4</f>
        <v>Alt.2</v>
      </c>
    </row>
    <row r="558" spans="1:19" ht="16.5" customHeight="1">
      <c r="A558" s="202"/>
      <c r="B558" s="46" t="s">
        <v>8</v>
      </c>
      <c r="C558" s="46" t="s">
        <v>7</v>
      </c>
      <c r="D558" s="46" t="s">
        <v>6</v>
      </c>
      <c r="E558" s="46" t="s">
        <v>5</v>
      </c>
      <c r="F558" s="46" t="s">
        <v>4</v>
      </c>
      <c r="G558" s="46" t="s">
        <v>3</v>
      </c>
      <c r="H558" s="46" t="s">
        <v>2</v>
      </c>
      <c r="I558" s="46" t="s">
        <v>1</v>
      </c>
      <c r="J558" s="46" t="s">
        <v>0</v>
      </c>
      <c r="K558" s="46" t="s">
        <v>1</v>
      </c>
      <c r="L558" s="46" t="s">
        <v>2</v>
      </c>
      <c r="M558" s="46" t="s">
        <v>3</v>
      </c>
      <c r="N558" s="46" t="s">
        <v>4</v>
      </c>
      <c r="O558" s="46" t="s">
        <v>5</v>
      </c>
      <c r="P558" s="46" t="s">
        <v>6</v>
      </c>
      <c r="Q558" s="46" t="s">
        <v>7</v>
      </c>
      <c r="R558" s="46" t="s">
        <v>8</v>
      </c>
      <c r="S558" s="203" t="str">
        <f>'6a-Hierarchy'!$G$4</f>
        <v>Alt.3</v>
      </c>
    </row>
    <row r="559" spans="1:19" ht="16.5" customHeight="1" thickBot="1">
      <c r="A559" s="205"/>
      <c r="B559" s="206" t="s">
        <v>8</v>
      </c>
      <c r="C559" s="206" t="s">
        <v>7</v>
      </c>
      <c r="D559" s="206" t="s">
        <v>6</v>
      </c>
      <c r="E559" s="206" t="s">
        <v>5</v>
      </c>
      <c r="F559" s="206" t="s">
        <v>4</v>
      </c>
      <c r="G559" s="206" t="s">
        <v>3</v>
      </c>
      <c r="H559" s="206" t="s">
        <v>2</v>
      </c>
      <c r="I559" s="206" t="s">
        <v>1</v>
      </c>
      <c r="J559" s="206" t="s">
        <v>0</v>
      </c>
      <c r="K559" s="206" t="s">
        <v>1</v>
      </c>
      <c r="L559" s="206" t="s">
        <v>2</v>
      </c>
      <c r="M559" s="206" t="s">
        <v>3</v>
      </c>
      <c r="N559" s="206" t="s">
        <v>4</v>
      </c>
      <c r="O559" s="206" t="s">
        <v>5</v>
      </c>
      <c r="P559" s="206" t="s">
        <v>6</v>
      </c>
      <c r="Q559" s="206" t="s">
        <v>7</v>
      </c>
      <c r="R559" s="206" t="s">
        <v>8</v>
      </c>
      <c r="S559" s="207" t="e">
        <f>'6a-Hierarchy'!#REF!</f>
        <v>#REF!</v>
      </c>
    </row>
    <row r="560" spans="1:19" ht="16.5" customHeight="1">
      <c r="A560" s="201" t="str">
        <f>'6a-Hierarchy'!$E$4</f>
        <v>Alt.1</v>
      </c>
      <c r="B560" s="169" t="s">
        <v>8</v>
      </c>
      <c r="C560" s="169" t="s">
        <v>7</v>
      </c>
      <c r="D560" s="169" t="s">
        <v>6</v>
      </c>
      <c r="E560" s="169" t="s">
        <v>5</v>
      </c>
      <c r="F560" s="169" t="s">
        <v>4</v>
      </c>
      <c r="G560" s="169" t="s">
        <v>3</v>
      </c>
      <c r="H560" s="169" t="s">
        <v>2</v>
      </c>
      <c r="I560" s="169" t="s">
        <v>1</v>
      </c>
      <c r="J560" s="169" t="s">
        <v>0</v>
      </c>
      <c r="K560" s="169" t="s">
        <v>1</v>
      </c>
      <c r="L560" s="169" t="s">
        <v>2</v>
      </c>
      <c r="M560" s="169" t="s">
        <v>3</v>
      </c>
      <c r="N560" s="169" t="s">
        <v>4</v>
      </c>
      <c r="O560" s="169" t="s">
        <v>5</v>
      </c>
      <c r="P560" s="169" t="s">
        <v>6</v>
      </c>
      <c r="Q560" s="169" t="s">
        <v>7</v>
      </c>
      <c r="R560" s="169" t="s">
        <v>8</v>
      </c>
      <c r="S560" s="170" t="str">
        <f>'6a-Hierarchy'!$F$4</f>
        <v>Alt.2</v>
      </c>
    </row>
    <row r="561" spans="1:19" ht="16.5" customHeight="1">
      <c r="A561" s="202"/>
      <c r="B561" s="46" t="s">
        <v>8</v>
      </c>
      <c r="C561" s="46" t="s">
        <v>7</v>
      </c>
      <c r="D561" s="46" t="s">
        <v>6</v>
      </c>
      <c r="E561" s="46" t="s">
        <v>5</v>
      </c>
      <c r="F561" s="46" t="s">
        <v>4</v>
      </c>
      <c r="G561" s="46" t="s">
        <v>3</v>
      </c>
      <c r="H561" s="46" t="s">
        <v>2</v>
      </c>
      <c r="I561" s="46" t="s">
        <v>1</v>
      </c>
      <c r="J561" s="46" t="s">
        <v>0</v>
      </c>
      <c r="K561" s="46" t="s">
        <v>1</v>
      </c>
      <c r="L561" s="46" t="s">
        <v>2</v>
      </c>
      <c r="M561" s="46" t="s">
        <v>3</v>
      </c>
      <c r="N561" s="46" t="s">
        <v>4</v>
      </c>
      <c r="O561" s="46" t="s">
        <v>5</v>
      </c>
      <c r="P561" s="46" t="s">
        <v>6</v>
      </c>
      <c r="Q561" s="46" t="s">
        <v>7</v>
      </c>
      <c r="R561" s="46" t="s">
        <v>8</v>
      </c>
      <c r="S561" s="203" t="str">
        <f>'6a-Hierarchy'!$G$4</f>
        <v>Alt.3</v>
      </c>
    </row>
    <row r="562" spans="1:19" ht="16.5" customHeight="1" thickBot="1">
      <c r="A562" s="205"/>
      <c r="B562" s="206" t="s">
        <v>8</v>
      </c>
      <c r="C562" s="206" t="s">
        <v>7</v>
      </c>
      <c r="D562" s="206" t="s">
        <v>6</v>
      </c>
      <c r="E562" s="206" t="s">
        <v>5</v>
      </c>
      <c r="F562" s="206" t="s">
        <v>4</v>
      </c>
      <c r="G562" s="206" t="s">
        <v>3</v>
      </c>
      <c r="H562" s="206" t="s">
        <v>2</v>
      </c>
      <c r="I562" s="206" t="s">
        <v>1</v>
      </c>
      <c r="J562" s="206" t="s">
        <v>0</v>
      </c>
      <c r="K562" s="206" t="s">
        <v>1</v>
      </c>
      <c r="L562" s="206" t="s">
        <v>2</v>
      </c>
      <c r="M562" s="206" t="s">
        <v>3</v>
      </c>
      <c r="N562" s="206" t="s">
        <v>4</v>
      </c>
      <c r="O562" s="206" t="s">
        <v>5</v>
      </c>
      <c r="P562" s="206" t="s">
        <v>6</v>
      </c>
      <c r="Q562" s="206" t="s">
        <v>7</v>
      </c>
      <c r="R562" s="206" t="s">
        <v>8</v>
      </c>
      <c r="S562" s="207" t="e">
        <f>'6a-Hierarchy'!#REF!</f>
        <v>#REF!</v>
      </c>
    </row>
    <row r="563" spans="1:19" ht="16.5" customHeight="1">
      <c r="A563" s="201" t="str">
        <f>'6a-Hierarchy'!$F$4</f>
        <v>Alt.2</v>
      </c>
      <c r="B563" s="169" t="s">
        <v>8</v>
      </c>
      <c r="C563" s="169" t="s">
        <v>7</v>
      </c>
      <c r="D563" s="169" t="s">
        <v>6</v>
      </c>
      <c r="E563" s="169" t="s">
        <v>5</v>
      </c>
      <c r="F563" s="169" t="s">
        <v>4</v>
      </c>
      <c r="G563" s="169" t="s">
        <v>3</v>
      </c>
      <c r="H563" s="169" t="s">
        <v>2</v>
      </c>
      <c r="I563" s="169" t="s">
        <v>1</v>
      </c>
      <c r="J563" s="169" t="s">
        <v>0</v>
      </c>
      <c r="K563" s="169" t="s">
        <v>1</v>
      </c>
      <c r="L563" s="169" t="s">
        <v>2</v>
      </c>
      <c r="M563" s="169" t="s">
        <v>3</v>
      </c>
      <c r="N563" s="169" t="s">
        <v>4</v>
      </c>
      <c r="O563" s="169" t="s">
        <v>5</v>
      </c>
      <c r="P563" s="169" t="s">
        <v>6</v>
      </c>
      <c r="Q563" s="169" t="s">
        <v>7</v>
      </c>
      <c r="R563" s="169" t="s">
        <v>8</v>
      </c>
      <c r="S563" s="170" t="str">
        <f>'6a-Hierarchy'!$G$4</f>
        <v>Alt.3</v>
      </c>
    </row>
    <row r="564" spans="1:19" ht="16.5" customHeight="1" thickBot="1">
      <c r="A564" s="205"/>
      <c r="B564" s="206" t="s">
        <v>8</v>
      </c>
      <c r="C564" s="206" t="s">
        <v>7</v>
      </c>
      <c r="D564" s="206" t="s">
        <v>6</v>
      </c>
      <c r="E564" s="206" t="s">
        <v>5</v>
      </c>
      <c r="F564" s="206" t="s">
        <v>4</v>
      </c>
      <c r="G564" s="206" t="s">
        <v>3</v>
      </c>
      <c r="H564" s="206" t="s">
        <v>2</v>
      </c>
      <c r="I564" s="206" t="s">
        <v>1</v>
      </c>
      <c r="J564" s="206" t="s">
        <v>0</v>
      </c>
      <c r="K564" s="206" t="s">
        <v>1</v>
      </c>
      <c r="L564" s="206" t="s">
        <v>2</v>
      </c>
      <c r="M564" s="206" t="s">
        <v>3</v>
      </c>
      <c r="N564" s="206" t="s">
        <v>4</v>
      </c>
      <c r="O564" s="206" t="s">
        <v>5</v>
      </c>
      <c r="P564" s="206" t="s">
        <v>6</v>
      </c>
      <c r="Q564" s="206" t="s">
        <v>7</v>
      </c>
      <c r="R564" s="206" t="s">
        <v>8</v>
      </c>
      <c r="S564" s="207" t="e">
        <f>'6a-Hierarchy'!#REF!</f>
        <v>#REF!</v>
      </c>
    </row>
    <row r="565" spans="1:19" ht="16.5" customHeight="1" thickBot="1">
      <c r="A565" s="213" t="str">
        <f>'6a-Hierarchy'!$G$4</f>
        <v>Alt.3</v>
      </c>
      <c r="B565" s="222" t="s">
        <v>8</v>
      </c>
      <c r="C565" s="222" t="s">
        <v>7</v>
      </c>
      <c r="D565" s="222" t="s">
        <v>6</v>
      </c>
      <c r="E565" s="222" t="s">
        <v>5</v>
      </c>
      <c r="F565" s="222" t="s">
        <v>4</v>
      </c>
      <c r="G565" s="222" t="s">
        <v>3</v>
      </c>
      <c r="H565" s="222" t="s">
        <v>2</v>
      </c>
      <c r="I565" s="222" t="s">
        <v>1</v>
      </c>
      <c r="J565" s="222" t="s">
        <v>0</v>
      </c>
      <c r="K565" s="222" t="s">
        <v>1</v>
      </c>
      <c r="L565" s="222" t="s">
        <v>2</v>
      </c>
      <c r="M565" s="222" t="s">
        <v>3</v>
      </c>
      <c r="N565" s="222" t="s">
        <v>4</v>
      </c>
      <c r="O565" s="222" t="s">
        <v>5</v>
      </c>
      <c r="P565" s="222" t="s">
        <v>6</v>
      </c>
      <c r="Q565" s="222" t="s">
        <v>7</v>
      </c>
      <c r="R565" s="222" t="s">
        <v>8</v>
      </c>
      <c r="S565" s="214" t="e">
        <f>'6a-Hierarchy'!#REF!</f>
        <v>#REF!</v>
      </c>
    </row>
    <row r="566" spans="1:19" ht="7.5" customHeight="1" thickBot="1">
      <c r="A566" s="215"/>
      <c r="B566" s="216"/>
      <c r="C566" s="216"/>
      <c r="D566" s="216"/>
      <c r="E566" s="216"/>
      <c r="F566" s="216"/>
      <c r="G566" s="216"/>
      <c r="H566" s="216"/>
      <c r="I566" s="216"/>
      <c r="J566" s="216"/>
      <c r="K566" s="216"/>
      <c r="L566" s="216"/>
      <c r="M566" s="216"/>
      <c r="N566" s="216"/>
      <c r="O566" s="216"/>
      <c r="P566" s="216"/>
      <c r="Q566" s="216"/>
      <c r="R566" s="216"/>
      <c r="S566" s="215"/>
    </row>
    <row r="567" spans="1:19" ht="18.75" customHeight="1" thickBot="1">
      <c r="A567" s="217"/>
      <c r="B567" s="218"/>
      <c r="C567" s="218"/>
      <c r="D567" s="218"/>
      <c r="E567" s="218"/>
      <c r="F567" s="218"/>
      <c r="G567" s="219"/>
      <c r="H567" s="219"/>
      <c r="I567" s="220">
        <f>'1b-Sub-Performance'!A43</f>
        <v>0</v>
      </c>
      <c r="J567" s="219" t="s">
        <v>14</v>
      </c>
      <c r="K567" s="219" t="s">
        <v>16</v>
      </c>
      <c r="L567" s="219"/>
      <c r="M567" s="219"/>
      <c r="N567" s="218"/>
      <c r="O567" s="218"/>
      <c r="P567" s="218"/>
      <c r="Q567" s="218"/>
      <c r="R567" s="218"/>
      <c r="S567" s="221"/>
    </row>
    <row r="568" spans="1:19" ht="33.75" customHeight="1" thickBot="1">
      <c r="A568" s="231" t="s">
        <v>227</v>
      </c>
      <c r="B568" s="232" t="s">
        <v>222</v>
      </c>
      <c r="C568" s="233"/>
      <c r="D568" s="232" t="s">
        <v>223</v>
      </c>
      <c r="E568" s="233"/>
      <c r="F568" s="232" t="s">
        <v>224</v>
      </c>
      <c r="G568" s="233"/>
      <c r="H568" s="232" t="s">
        <v>225</v>
      </c>
      <c r="I568" s="233"/>
      <c r="J568" s="232" t="s">
        <v>226</v>
      </c>
      <c r="K568" s="233"/>
      <c r="L568" s="232" t="s">
        <v>225</v>
      </c>
      <c r="M568" s="233"/>
      <c r="N568" s="232" t="s">
        <v>224</v>
      </c>
      <c r="O568" s="233"/>
      <c r="P568" s="232" t="s">
        <v>223</v>
      </c>
      <c r="Q568" s="233"/>
      <c r="R568" s="232" t="s">
        <v>222</v>
      </c>
      <c r="S568" s="234" t="s">
        <v>227</v>
      </c>
    </row>
    <row r="569" spans="1:19" ht="17.100000000000001" customHeight="1">
      <c r="A569" s="201" t="str">
        <f>'6a-Hierarchy'!$D$4</f>
        <v>Original</v>
      </c>
      <c r="B569" s="169" t="s">
        <v>8</v>
      </c>
      <c r="C569" s="169" t="s">
        <v>7</v>
      </c>
      <c r="D569" s="169" t="s">
        <v>6</v>
      </c>
      <c r="E569" s="169" t="s">
        <v>5</v>
      </c>
      <c r="F569" s="169" t="s">
        <v>4</v>
      </c>
      <c r="G569" s="169" t="s">
        <v>3</v>
      </c>
      <c r="H569" s="169" t="s">
        <v>2</v>
      </c>
      <c r="I569" s="169" t="s">
        <v>1</v>
      </c>
      <c r="J569" s="169" t="s">
        <v>0</v>
      </c>
      <c r="K569" s="169" t="s">
        <v>1</v>
      </c>
      <c r="L569" s="169" t="s">
        <v>2</v>
      </c>
      <c r="M569" s="169" t="s">
        <v>3</v>
      </c>
      <c r="N569" s="169" t="s">
        <v>4</v>
      </c>
      <c r="O569" s="169" t="s">
        <v>5</v>
      </c>
      <c r="P569" s="169" t="s">
        <v>6</v>
      </c>
      <c r="Q569" s="169" t="s">
        <v>7</v>
      </c>
      <c r="R569" s="169" t="s">
        <v>8</v>
      </c>
      <c r="S569" s="170" t="str">
        <f>'6a-Hierarchy'!$E$4</f>
        <v>Alt.1</v>
      </c>
    </row>
    <row r="570" spans="1:19" ht="16.5" customHeight="1">
      <c r="A570" s="202"/>
      <c r="B570" s="46" t="s">
        <v>8</v>
      </c>
      <c r="C570" s="46" t="s">
        <v>7</v>
      </c>
      <c r="D570" s="46" t="s">
        <v>6</v>
      </c>
      <c r="E570" s="46" t="s">
        <v>5</v>
      </c>
      <c r="F570" s="46" t="s">
        <v>4</v>
      </c>
      <c r="G570" s="46" t="s">
        <v>3</v>
      </c>
      <c r="H570" s="46" t="s">
        <v>2</v>
      </c>
      <c r="I570" s="46" t="s">
        <v>1</v>
      </c>
      <c r="J570" s="46" t="s">
        <v>0</v>
      </c>
      <c r="K570" s="46" t="s">
        <v>1</v>
      </c>
      <c r="L570" s="46" t="s">
        <v>2</v>
      </c>
      <c r="M570" s="46" t="s">
        <v>3</v>
      </c>
      <c r="N570" s="46" t="s">
        <v>4</v>
      </c>
      <c r="O570" s="46" t="s">
        <v>5</v>
      </c>
      <c r="P570" s="46" t="s">
        <v>6</v>
      </c>
      <c r="Q570" s="46" t="s">
        <v>7</v>
      </c>
      <c r="R570" s="46" t="s">
        <v>8</v>
      </c>
      <c r="S570" s="203" t="str">
        <f>'6a-Hierarchy'!$F$4</f>
        <v>Alt.2</v>
      </c>
    </row>
    <row r="571" spans="1:19" ht="16.5" customHeight="1">
      <c r="A571" s="202"/>
      <c r="B571" s="46" t="s">
        <v>8</v>
      </c>
      <c r="C571" s="46" t="s">
        <v>7</v>
      </c>
      <c r="D571" s="46" t="s">
        <v>6</v>
      </c>
      <c r="E571" s="46" t="s">
        <v>5</v>
      </c>
      <c r="F571" s="46" t="s">
        <v>4</v>
      </c>
      <c r="G571" s="46" t="s">
        <v>3</v>
      </c>
      <c r="H571" s="46" t="s">
        <v>2</v>
      </c>
      <c r="I571" s="46" t="s">
        <v>1</v>
      </c>
      <c r="J571" s="46" t="s">
        <v>0</v>
      </c>
      <c r="K571" s="46" t="s">
        <v>1</v>
      </c>
      <c r="L571" s="46" t="s">
        <v>2</v>
      </c>
      <c r="M571" s="46" t="s">
        <v>3</v>
      </c>
      <c r="N571" s="46" t="s">
        <v>4</v>
      </c>
      <c r="O571" s="46" t="s">
        <v>5</v>
      </c>
      <c r="P571" s="46" t="s">
        <v>6</v>
      </c>
      <c r="Q571" s="46" t="s">
        <v>7</v>
      </c>
      <c r="R571" s="46" t="s">
        <v>8</v>
      </c>
      <c r="S571" s="203" t="str">
        <f>'6a-Hierarchy'!$G$4</f>
        <v>Alt.3</v>
      </c>
    </row>
    <row r="572" spans="1:19" ht="16.5" customHeight="1" thickBot="1">
      <c r="A572" s="205"/>
      <c r="B572" s="206" t="s">
        <v>8</v>
      </c>
      <c r="C572" s="206" t="s">
        <v>7</v>
      </c>
      <c r="D572" s="206" t="s">
        <v>6</v>
      </c>
      <c r="E572" s="206" t="s">
        <v>5</v>
      </c>
      <c r="F572" s="206" t="s">
        <v>4</v>
      </c>
      <c r="G572" s="206" t="s">
        <v>3</v>
      </c>
      <c r="H572" s="206" t="s">
        <v>2</v>
      </c>
      <c r="I572" s="206" t="s">
        <v>1</v>
      </c>
      <c r="J572" s="206" t="s">
        <v>0</v>
      </c>
      <c r="K572" s="206" t="s">
        <v>1</v>
      </c>
      <c r="L572" s="206" t="s">
        <v>2</v>
      </c>
      <c r="M572" s="206" t="s">
        <v>3</v>
      </c>
      <c r="N572" s="206" t="s">
        <v>4</v>
      </c>
      <c r="O572" s="206" t="s">
        <v>5</v>
      </c>
      <c r="P572" s="206" t="s">
        <v>6</v>
      </c>
      <c r="Q572" s="206" t="s">
        <v>7</v>
      </c>
      <c r="R572" s="206" t="s">
        <v>8</v>
      </c>
      <c r="S572" s="207" t="e">
        <f>'6a-Hierarchy'!#REF!</f>
        <v>#REF!</v>
      </c>
    </row>
    <row r="573" spans="1:19" ht="16.5" customHeight="1">
      <c r="A573" s="201" t="str">
        <f>'6a-Hierarchy'!$E$4</f>
        <v>Alt.1</v>
      </c>
      <c r="B573" s="169" t="s">
        <v>8</v>
      </c>
      <c r="C573" s="169" t="s">
        <v>7</v>
      </c>
      <c r="D573" s="169" t="s">
        <v>6</v>
      </c>
      <c r="E573" s="169" t="s">
        <v>5</v>
      </c>
      <c r="F573" s="169" t="s">
        <v>4</v>
      </c>
      <c r="G573" s="169" t="s">
        <v>3</v>
      </c>
      <c r="H573" s="169" t="s">
        <v>2</v>
      </c>
      <c r="I573" s="169" t="s">
        <v>1</v>
      </c>
      <c r="J573" s="169" t="s">
        <v>0</v>
      </c>
      <c r="K573" s="169" t="s">
        <v>1</v>
      </c>
      <c r="L573" s="169" t="s">
        <v>2</v>
      </c>
      <c r="M573" s="169" t="s">
        <v>3</v>
      </c>
      <c r="N573" s="169" t="s">
        <v>4</v>
      </c>
      <c r="O573" s="169" t="s">
        <v>5</v>
      </c>
      <c r="P573" s="169" t="s">
        <v>6</v>
      </c>
      <c r="Q573" s="169" t="s">
        <v>7</v>
      </c>
      <c r="R573" s="169" t="s">
        <v>8</v>
      </c>
      <c r="S573" s="170" t="str">
        <f>'6a-Hierarchy'!$F$4</f>
        <v>Alt.2</v>
      </c>
    </row>
    <row r="574" spans="1:19" ht="16.5" customHeight="1">
      <c r="A574" s="202"/>
      <c r="B574" s="46" t="s">
        <v>8</v>
      </c>
      <c r="C574" s="46" t="s">
        <v>7</v>
      </c>
      <c r="D574" s="46" t="s">
        <v>6</v>
      </c>
      <c r="E574" s="46" t="s">
        <v>5</v>
      </c>
      <c r="F574" s="46" t="s">
        <v>4</v>
      </c>
      <c r="G574" s="46" t="s">
        <v>3</v>
      </c>
      <c r="H574" s="46" t="s">
        <v>2</v>
      </c>
      <c r="I574" s="46" t="s">
        <v>1</v>
      </c>
      <c r="J574" s="46" t="s">
        <v>0</v>
      </c>
      <c r="K574" s="46" t="s">
        <v>1</v>
      </c>
      <c r="L574" s="46" t="s">
        <v>2</v>
      </c>
      <c r="M574" s="46" t="s">
        <v>3</v>
      </c>
      <c r="N574" s="46" t="s">
        <v>4</v>
      </c>
      <c r="O574" s="46" t="s">
        <v>5</v>
      </c>
      <c r="P574" s="46" t="s">
        <v>6</v>
      </c>
      <c r="Q574" s="46" t="s">
        <v>7</v>
      </c>
      <c r="R574" s="46" t="s">
        <v>8</v>
      </c>
      <c r="S574" s="203" t="str">
        <f>'6a-Hierarchy'!$G$4</f>
        <v>Alt.3</v>
      </c>
    </row>
    <row r="575" spans="1:19" ht="16.5" customHeight="1" thickBot="1">
      <c r="A575" s="205"/>
      <c r="B575" s="206" t="s">
        <v>8</v>
      </c>
      <c r="C575" s="206" t="s">
        <v>7</v>
      </c>
      <c r="D575" s="206" t="s">
        <v>6</v>
      </c>
      <c r="E575" s="206" t="s">
        <v>5</v>
      </c>
      <c r="F575" s="206" t="s">
        <v>4</v>
      </c>
      <c r="G575" s="206" t="s">
        <v>3</v>
      </c>
      <c r="H575" s="206" t="s">
        <v>2</v>
      </c>
      <c r="I575" s="206" t="s">
        <v>1</v>
      </c>
      <c r="J575" s="206" t="s">
        <v>0</v>
      </c>
      <c r="K575" s="206" t="s">
        <v>1</v>
      </c>
      <c r="L575" s="206" t="s">
        <v>2</v>
      </c>
      <c r="M575" s="206" t="s">
        <v>3</v>
      </c>
      <c r="N575" s="206" t="s">
        <v>4</v>
      </c>
      <c r="O575" s="206" t="s">
        <v>5</v>
      </c>
      <c r="P575" s="206" t="s">
        <v>6</v>
      </c>
      <c r="Q575" s="206" t="s">
        <v>7</v>
      </c>
      <c r="R575" s="206" t="s">
        <v>8</v>
      </c>
      <c r="S575" s="207" t="e">
        <f>'6a-Hierarchy'!#REF!</f>
        <v>#REF!</v>
      </c>
    </row>
    <row r="576" spans="1:19" ht="16.5" customHeight="1">
      <c r="A576" s="201" t="str">
        <f>'6a-Hierarchy'!$F$4</f>
        <v>Alt.2</v>
      </c>
      <c r="B576" s="169" t="s">
        <v>8</v>
      </c>
      <c r="C576" s="169" t="s">
        <v>7</v>
      </c>
      <c r="D576" s="169" t="s">
        <v>6</v>
      </c>
      <c r="E576" s="169" t="s">
        <v>5</v>
      </c>
      <c r="F576" s="169" t="s">
        <v>4</v>
      </c>
      <c r="G576" s="169" t="s">
        <v>3</v>
      </c>
      <c r="H576" s="169" t="s">
        <v>2</v>
      </c>
      <c r="I576" s="169" t="s">
        <v>1</v>
      </c>
      <c r="J576" s="169" t="s">
        <v>0</v>
      </c>
      <c r="K576" s="169" t="s">
        <v>1</v>
      </c>
      <c r="L576" s="169" t="s">
        <v>2</v>
      </c>
      <c r="M576" s="169" t="s">
        <v>3</v>
      </c>
      <c r="N576" s="169" t="s">
        <v>4</v>
      </c>
      <c r="O576" s="169" t="s">
        <v>5</v>
      </c>
      <c r="P576" s="169" t="s">
        <v>6</v>
      </c>
      <c r="Q576" s="169" t="s">
        <v>7</v>
      </c>
      <c r="R576" s="169" t="s">
        <v>8</v>
      </c>
      <c r="S576" s="170" t="str">
        <f>'6a-Hierarchy'!$G$4</f>
        <v>Alt.3</v>
      </c>
    </row>
    <row r="577" spans="1:19" ht="16.5" customHeight="1" thickBot="1">
      <c r="A577" s="205"/>
      <c r="B577" s="206" t="s">
        <v>8</v>
      </c>
      <c r="C577" s="206" t="s">
        <v>7</v>
      </c>
      <c r="D577" s="206" t="s">
        <v>6</v>
      </c>
      <c r="E577" s="206" t="s">
        <v>5</v>
      </c>
      <c r="F577" s="206" t="s">
        <v>4</v>
      </c>
      <c r="G577" s="206" t="s">
        <v>3</v>
      </c>
      <c r="H577" s="206" t="s">
        <v>2</v>
      </c>
      <c r="I577" s="206" t="s">
        <v>1</v>
      </c>
      <c r="J577" s="206" t="s">
        <v>0</v>
      </c>
      <c r="K577" s="206" t="s">
        <v>1</v>
      </c>
      <c r="L577" s="206" t="s">
        <v>2</v>
      </c>
      <c r="M577" s="206" t="s">
        <v>3</v>
      </c>
      <c r="N577" s="206" t="s">
        <v>4</v>
      </c>
      <c r="O577" s="206" t="s">
        <v>5</v>
      </c>
      <c r="P577" s="206" t="s">
        <v>6</v>
      </c>
      <c r="Q577" s="206" t="s">
        <v>7</v>
      </c>
      <c r="R577" s="206" t="s">
        <v>8</v>
      </c>
      <c r="S577" s="207" t="e">
        <f>'6a-Hierarchy'!#REF!</f>
        <v>#REF!</v>
      </c>
    </row>
    <row r="578" spans="1:19" ht="16.5" customHeight="1" thickBot="1">
      <c r="A578" s="213" t="str">
        <f>'6a-Hierarchy'!$G$4</f>
        <v>Alt.3</v>
      </c>
      <c r="B578" s="222" t="s">
        <v>8</v>
      </c>
      <c r="C578" s="222" t="s">
        <v>7</v>
      </c>
      <c r="D578" s="222" t="s">
        <v>6</v>
      </c>
      <c r="E578" s="222" t="s">
        <v>5</v>
      </c>
      <c r="F578" s="222" t="s">
        <v>4</v>
      </c>
      <c r="G578" s="222" t="s">
        <v>3</v>
      </c>
      <c r="H578" s="222" t="s">
        <v>2</v>
      </c>
      <c r="I578" s="222" t="s">
        <v>1</v>
      </c>
      <c r="J578" s="222" t="s">
        <v>0</v>
      </c>
      <c r="K578" s="222" t="s">
        <v>1</v>
      </c>
      <c r="L578" s="222" t="s">
        <v>2</v>
      </c>
      <c r="M578" s="222" t="s">
        <v>3</v>
      </c>
      <c r="N578" s="222" t="s">
        <v>4</v>
      </c>
      <c r="O578" s="222" t="s">
        <v>5</v>
      </c>
      <c r="P578" s="222" t="s">
        <v>6</v>
      </c>
      <c r="Q578" s="222" t="s">
        <v>7</v>
      </c>
      <c r="R578" s="222" t="s">
        <v>8</v>
      </c>
      <c r="S578" s="214" t="e">
        <f>'6a-Hierarchy'!#REF!</f>
        <v>#REF!</v>
      </c>
    </row>
    <row r="579" spans="1:19" ht="7.5" customHeight="1" thickBot="1">
      <c r="A579" s="215"/>
      <c r="B579" s="216"/>
      <c r="C579" s="216"/>
      <c r="D579" s="216"/>
      <c r="E579" s="216"/>
      <c r="F579" s="216"/>
      <c r="G579" s="216"/>
      <c r="H579" s="216"/>
      <c r="I579" s="216"/>
      <c r="J579" s="216"/>
      <c r="K579" s="216"/>
      <c r="L579" s="216"/>
      <c r="M579" s="216"/>
      <c r="N579" s="216"/>
      <c r="O579" s="216"/>
      <c r="P579" s="216"/>
      <c r="Q579" s="216"/>
      <c r="R579" s="216"/>
      <c r="S579" s="215"/>
    </row>
    <row r="580" spans="1:19" ht="18.75" customHeight="1" thickBot="1">
      <c r="A580" s="217"/>
      <c r="B580" s="218"/>
      <c r="C580" s="218"/>
      <c r="D580" s="218"/>
      <c r="E580" s="218"/>
      <c r="F580" s="218"/>
      <c r="G580" s="219"/>
      <c r="H580" s="219"/>
      <c r="I580" s="220">
        <f>'1b-Sub-Performance'!A44</f>
        <v>0</v>
      </c>
      <c r="J580" s="219" t="s">
        <v>14</v>
      </c>
      <c r="K580" s="219" t="s">
        <v>16</v>
      </c>
      <c r="L580" s="219"/>
      <c r="M580" s="219"/>
      <c r="N580" s="218"/>
      <c r="O580" s="218"/>
      <c r="P580" s="218"/>
      <c r="Q580" s="218"/>
      <c r="R580" s="218"/>
      <c r="S580" s="221"/>
    </row>
    <row r="581" spans="1:19" ht="33.75" customHeight="1" thickBot="1">
      <c r="A581" s="231" t="s">
        <v>227</v>
      </c>
      <c r="B581" s="232" t="s">
        <v>222</v>
      </c>
      <c r="C581" s="233"/>
      <c r="D581" s="232" t="s">
        <v>223</v>
      </c>
      <c r="E581" s="233"/>
      <c r="F581" s="232" t="s">
        <v>224</v>
      </c>
      <c r="G581" s="233"/>
      <c r="H581" s="232" t="s">
        <v>225</v>
      </c>
      <c r="I581" s="233"/>
      <c r="J581" s="232" t="s">
        <v>226</v>
      </c>
      <c r="K581" s="233"/>
      <c r="L581" s="232" t="s">
        <v>225</v>
      </c>
      <c r="M581" s="233"/>
      <c r="N581" s="232" t="s">
        <v>224</v>
      </c>
      <c r="O581" s="233"/>
      <c r="P581" s="232" t="s">
        <v>223</v>
      </c>
      <c r="Q581" s="233"/>
      <c r="R581" s="232" t="s">
        <v>222</v>
      </c>
      <c r="S581" s="234" t="s">
        <v>227</v>
      </c>
    </row>
    <row r="582" spans="1:19" ht="17.100000000000001" customHeight="1">
      <c r="A582" s="201" t="str">
        <f>'6a-Hierarchy'!$D$4</f>
        <v>Original</v>
      </c>
      <c r="B582" s="169" t="s">
        <v>8</v>
      </c>
      <c r="C582" s="169" t="s">
        <v>7</v>
      </c>
      <c r="D582" s="169" t="s">
        <v>6</v>
      </c>
      <c r="E582" s="169" t="s">
        <v>5</v>
      </c>
      <c r="F582" s="169" t="s">
        <v>4</v>
      </c>
      <c r="G582" s="169" t="s">
        <v>3</v>
      </c>
      <c r="H582" s="169" t="s">
        <v>2</v>
      </c>
      <c r="I582" s="169" t="s">
        <v>1</v>
      </c>
      <c r="J582" s="169" t="s">
        <v>0</v>
      </c>
      <c r="K582" s="169" t="s">
        <v>1</v>
      </c>
      <c r="L582" s="169" t="s">
        <v>2</v>
      </c>
      <c r="M582" s="169" t="s">
        <v>3</v>
      </c>
      <c r="N582" s="169" t="s">
        <v>4</v>
      </c>
      <c r="O582" s="169" t="s">
        <v>5</v>
      </c>
      <c r="P582" s="169" t="s">
        <v>6</v>
      </c>
      <c r="Q582" s="169" t="s">
        <v>7</v>
      </c>
      <c r="R582" s="169" t="s">
        <v>8</v>
      </c>
      <c r="S582" s="170" t="str">
        <f>'6a-Hierarchy'!$E$4</f>
        <v>Alt.1</v>
      </c>
    </row>
    <row r="583" spans="1:19" ht="16.5" customHeight="1">
      <c r="A583" s="202"/>
      <c r="B583" s="46" t="s">
        <v>8</v>
      </c>
      <c r="C583" s="46" t="s">
        <v>7</v>
      </c>
      <c r="D583" s="46" t="s">
        <v>6</v>
      </c>
      <c r="E583" s="46" t="s">
        <v>5</v>
      </c>
      <c r="F583" s="46" t="s">
        <v>4</v>
      </c>
      <c r="G583" s="46" t="s">
        <v>3</v>
      </c>
      <c r="H583" s="46" t="s">
        <v>2</v>
      </c>
      <c r="I583" s="46" t="s">
        <v>1</v>
      </c>
      <c r="J583" s="46" t="s">
        <v>0</v>
      </c>
      <c r="K583" s="46" t="s">
        <v>1</v>
      </c>
      <c r="L583" s="46" t="s">
        <v>2</v>
      </c>
      <c r="M583" s="46" t="s">
        <v>3</v>
      </c>
      <c r="N583" s="46" t="s">
        <v>4</v>
      </c>
      <c r="O583" s="46" t="s">
        <v>5</v>
      </c>
      <c r="P583" s="46" t="s">
        <v>6</v>
      </c>
      <c r="Q583" s="46" t="s">
        <v>7</v>
      </c>
      <c r="R583" s="46" t="s">
        <v>8</v>
      </c>
      <c r="S583" s="203" t="str">
        <f>'6a-Hierarchy'!$F$4</f>
        <v>Alt.2</v>
      </c>
    </row>
    <row r="584" spans="1:19" ht="16.5" customHeight="1">
      <c r="A584" s="202"/>
      <c r="B584" s="46" t="s">
        <v>8</v>
      </c>
      <c r="C584" s="46" t="s">
        <v>7</v>
      </c>
      <c r="D584" s="46" t="s">
        <v>6</v>
      </c>
      <c r="E584" s="46" t="s">
        <v>5</v>
      </c>
      <c r="F584" s="46" t="s">
        <v>4</v>
      </c>
      <c r="G584" s="46" t="s">
        <v>3</v>
      </c>
      <c r="H584" s="46" t="s">
        <v>2</v>
      </c>
      <c r="I584" s="46" t="s">
        <v>1</v>
      </c>
      <c r="J584" s="46" t="s">
        <v>0</v>
      </c>
      <c r="K584" s="46" t="s">
        <v>1</v>
      </c>
      <c r="L584" s="46" t="s">
        <v>2</v>
      </c>
      <c r="M584" s="46" t="s">
        <v>3</v>
      </c>
      <c r="N584" s="46" t="s">
        <v>4</v>
      </c>
      <c r="O584" s="46" t="s">
        <v>5</v>
      </c>
      <c r="P584" s="46" t="s">
        <v>6</v>
      </c>
      <c r="Q584" s="46" t="s">
        <v>7</v>
      </c>
      <c r="R584" s="46" t="s">
        <v>8</v>
      </c>
      <c r="S584" s="203" t="str">
        <f>'6a-Hierarchy'!$G$4</f>
        <v>Alt.3</v>
      </c>
    </row>
    <row r="585" spans="1:19" ht="16.5" customHeight="1" thickBot="1">
      <c r="A585" s="205"/>
      <c r="B585" s="206" t="s">
        <v>8</v>
      </c>
      <c r="C585" s="206" t="s">
        <v>7</v>
      </c>
      <c r="D585" s="206" t="s">
        <v>6</v>
      </c>
      <c r="E585" s="206" t="s">
        <v>5</v>
      </c>
      <c r="F585" s="206" t="s">
        <v>4</v>
      </c>
      <c r="G585" s="206" t="s">
        <v>3</v>
      </c>
      <c r="H585" s="206" t="s">
        <v>2</v>
      </c>
      <c r="I585" s="206" t="s">
        <v>1</v>
      </c>
      <c r="J585" s="206" t="s">
        <v>0</v>
      </c>
      <c r="K585" s="206" t="s">
        <v>1</v>
      </c>
      <c r="L585" s="206" t="s">
        <v>2</v>
      </c>
      <c r="M585" s="206" t="s">
        <v>3</v>
      </c>
      <c r="N585" s="206" t="s">
        <v>4</v>
      </c>
      <c r="O585" s="206" t="s">
        <v>5</v>
      </c>
      <c r="P585" s="206" t="s">
        <v>6</v>
      </c>
      <c r="Q585" s="206" t="s">
        <v>7</v>
      </c>
      <c r="R585" s="206" t="s">
        <v>8</v>
      </c>
      <c r="S585" s="207" t="e">
        <f>'6a-Hierarchy'!#REF!</f>
        <v>#REF!</v>
      </c>
    </row>
    <row r="586" spans="1:19" ht="16.5" customHeight="1">
      <c r="A586" s="201" t="str">
        <f>'6a-Hierarchy'!$E$4</f>
        <v>Alt.1</v>
      </c>
      <c r="B586" s="169" t="s">
        <v>8</v>
      </c>
      <c r="C586" s="169" t="s">
        <v>7</v>
      </c>
      <c r="D586" s="169" t="s">
        <v>6</v>
      </c>
      <c r="E586" s="169" t="s">
        <v>5</v>
      </c>
      <c r="F586" s="169" t="s">
        <v>4</v>
      </c>
      <c r="G586" s="169" t="s">
        <v>3</v>
      </c>
      <c r="H586" s="169" t="s">
        <v>2</v>
      </c>
      <c r="I586" s="169" t="s">
        <v>1</v>
      </c>
      <c r="J586" s="169" t="s">
        <v>0</v>
      </c>
      <c r="K586" s="169" t="s">
        <v>1</v>
      </c>
      <c r="L586" s="169" t="s">
        <v>2</v>
      </c>
      <c r="M586" s="169" t="s">
        <v>3</v>
      </c>
      <c r="N586" s="169" t="s">
        <v>4</v>
      </c>
      <c r="O586" s="169" t="s">
        <v>5</v>
      </c>
      <c r="P586" s="169" t="s">
        <v>6</v>
      </c>
      <c r="Q586" s="169" t="s">
        <v>7</v>
      </c>
      <c r="R586" s="169" t="s">
        <v>8</v>
      </c>
      <c r="S586" s="170" t="str">
        <f>'6a-Hierarchy'!$F$4</f>
        <v>Alt.2</v>
      </c>
    </row>
    <row r="587" spans="1:19" ht="16.5" customHeight="1">
      <c r="A587" s="202"/>
      <c r="B587" s="46" t="s">
        <v>8</v>
      </c>
      <c r="C587" s="46" t="s">
        <v>7</v>
      </c>
      <c r="D587" s="46" t="s">
        <v>6</v>
      </c>
      <c r="E587" s="46" t="s">
        <v>5</v>
      </c>
      <c r="F587" s="46" t="s">
        <v>4</v>
      </c>
      <c r="G587" s="46" t="s">
        <v>3</v>
      </c>
      <c r="H587" s="46" t="s">
        <v>2</v>
      </c>
      <c r="I587" s="46" t="s">
        <v>1</v>
      </c>
      <c r="J587" s="46" t="s">
        <v>0</v>
      </c>
      <c r="K587" s="46" t="s">
        <v>1</v>
      </c>
      <c r="L587" s="46" t="s">
        <v>2</v>
      </c>
      <c r="M587" s="46" t="s">
        <v>3</v>
      </c>
      <c r="N587" s="46" t="s">
        <v>4</v>
      </c>
      <c r="O587" s="46" t="s">
        <v>5</v>
      </c>
      <c r="P587" s="46" t="s">
        <v>6</v>
      </c>
      <c r="Q587" s="46" t="s">
        <v>7</v>
      </c>
      <c r="R587" s="46" t="s">
        <v>8</v>
      </c>
      <c r="S587" s="203" t="str">
        <f>'6a-Hierarchy'!$G$4</f>
        <v>Alt.3</v>
      </c>
    </row>
    <row r="588" spans="1:19" ht="16.5" customHeight="1" thickBot="1">
      <c r="A588" s="205"/>
      <c r="B588" s="206" t="s">
        <v>8</v>
      </c>
      <c r="C588" s="206" t="s">
        <v>7</v>
      </c>
      <c r="D588" s="206" t="s">
        <v>6</v>
      </c>
      <c r="E588" s="206" t="s">
        <v>5</v>
      </c>
      <c r="F588" s="206" t="s">
        <v>4</v>
      </c>
      <c r="G588" s="206" t="s">
        <v>3</v>
      </c>
      <c r="H588" s="206" t="s">
        <v>2</v>
      </c>
      <c r="I588" s="206" t="s">
        <v>1</v>
      </c>
      <c r="J588" s="206" t="s">
        <v>0</v>
      </c>
      <c r="K588" s="206" t="s">
        <v>1</v>
      </c>
      <c r="L588" s="206" t="s">
        <v>2</v>
      </c>
      <c r="M588" s="206" t="s">
        <v>3</v>
      </c>
      <c r="N588" s="206" t="s">
        <v>4</v>
      </c>
      <c r="O588" s="206" t="s">
        <v>5</v>
      </c>
      <c r="P588" s="206" t="s">
        <v>6</v>
      </c>
      <c r="Q588" s="206" t="s">
        <v>7</v>
      </c>
      <c r="R588" s="206" t="s">
        <v>8</v>
      </c>
      <c r="S588" s="207" t="e">
        <f>'6a-Hierarchy'!#REF!</f>
        <v>#REF!</v>
      </c>
    </row>
    <row r="589" spans="1:19" ht="16.5" customHeight="1">
      <c r="A589" s="201" t="str">
        <f>'6a-Hierarchy'!$F$4</f>
        <v>Alt.2</v>
      </c>
      <c r="B589" s="169" t="s">
        <v>8</v>
      </c>
      <c r="C589" s="169" t="s">
        <v>7</v>
      </c>
      <c r="D589" s="169" t="s">
        <v>6</v>
      </c>
      <c r="E589" s="169" t="s">
        <v>5</v>
      </c>
      <c r="F589" s="169" t="s">
        <v>4</v>
      </c>
      <c r="G589" s="169" t="s">
        <v>3</v>
      </c>
      <c r="H589" s="169" t="s">
        <v>2</v>
      </c>
      <c r="I589" s="169" t="s">
        <v>1</v>
      </c>
      <c r="J589" s="169" t="s">
        <v>0</v>
      </c>
      <c r="K589" s="169" t="s">
        <v>1</v>
      </c>
      <c r="L589" s="169" t="s">
        <v>2</v>
      </c>
      <c r="M589" s="169" t="s">
        <v>3</v>
      </c>
      <c r="N589" s="169" t="s">
        <v>4</v>
      </c>
      <c r="O589" s="169" t="s">
        <v>5</v>
      </c>
      <c r="P589" s="169" t="s">
        <v>6</v>
      </c>
      <c r="Q589" s="169" t="s">
        <v>7</v>
      </c>
      <c r="R589" s="169" t="s">
        <v>8</v>
      </c>
      <c r="S589" s="170" t="str">
        <f>'6a-Hierarchy'!$G$4</f>
        <v>Alt.3</v>
      </c>
    </row>
    <row r="590" spans="1:19" ht="16.5" customHeight="1" thickBot="1">
      <c r="A590" s="205"/>
      <c r="B590" s="206" t="s">
        <v>8</v>
      </c>
      <c r="C590" s="206" t="s">
        <v>7</v>
      </c>
      <c r="D590" s="206" t="s">
        <v>6</v>
      </c>
      <c r="E590" s="206" t="s">
        <v>5</v>
      </c>
      <c r="F590" s="206" t="s">
        <v>4</v>
      </c>
      <c r="G590" s="206" t="s">
        <v>3</v>
      </c>
      <c r="H590" s="206" t="s">
        <v>2</v>
      </c>
      <c r="I590" s="206" t="s">
        <v>1</v>
      </c>
      <c r="J590" s="206" t="s">
        <v>0</v>
      </c>
      <c r="K590" s="206" t="s">
        <v>1</v>
      </c>
      <c r="L590" s="206" t="s">
        <v>2</v>
      </c>
      <c r="M590" s="206" t="s">
        <v>3</v>
      </c>
      <c r="N590" s="206" t="s">
        <v>4</v>
      </c>
      <c r="O590" s="206" t="s">
        <v>5</v>
      </c>
      <c r="P590" s="206" t="s">
        <v>6</v>
      </c>
      <c r="Q590" s="206" t="s">
        <v>7</v>
      </c>
      <c r="R590" s="206" t="s">
        <v>8</v>
      </c>
      <c r="S590" s="207" t="e">
        <f>'6a-Hierarchy'!#REF!</f>
        <v>#REF!</v>
      </c>
    </row>
    <row r="591" spans="1:19" ht="16.5" customHeight="1" thickBot="1">
      <c r="A591" s="213" t="str">
        <f>'6a-Hierarchy'!$G$4</f>
        <v>Alt.3</v>
      </c>
      <c r="B591" s="222" t="s">
        <v>8</v>
      </c>
      <c r="C591" s="222" t="s">
        <v>7</v>
      </c>
      <c r="D591" s="222" t="s">
        <v>6</v>
      </c>
      <c r="E591" s="222" t="s">
        <v>5</v>
      </c>
      <c r="F591" s="222" t="s">
        <v>4</v>
      </c>
      <c r="G591" s="222" t="s">
        <v>3</v>
      </c>
      <c r="H591" s="222" t="s">
        <v>2</v>
      </c>
      <c r="I591" s="222" t="s">
        <v>1</v>
      </c>
      <c r="J591" s="222" t="s">
        <v>0</v>
      </c>
      <c r="K591" s="222" t="s">
        <v>1</v>
      </c>
      <c r="L591" s="222" t="s">
        <v>2</v>
      </c>
      <c r="M591" s="222" t="s">
        <v>3</v>
      </c>
      <c r="N591" s="222" t="s">
        <v>4</v>
      </c>
      <c r="O591" s="222" t="s">
        <v>5</v>
      </c>
      <c r="P591" s="222" t="s">
        <v>6</v>
      </c>
      <c r="Q591" s="222" t="s">
        <v>7</v>
      </c>
      <c r="R591" s="222" t="s">
        <v>8</v>
      </c>
      <c r="S591" s="214" t="e">
        <f>'6a-Hierarchy'!#REF!</f>
        <v>#REF!</v>
      </c>
    </row>
    <row r="592" spans="1:19" ht="7.5" customHeight="1" thickBot="1">
      <c r="A592" s="215"/>
      <c r="B592" s="216"/>
      <c r="C592" s="216"/>
      <c r="D592" s="216"/>
      <c r="E592" s="216"/>
      <c r="F592" s="216"/>
      <c r="G592" s="216"/>
      <c r="H592" s="216"/>
      <c r="I592" s="216"/>
      <c r="J592" s="216"/>
      <c r="K592" s="216"/>
      <c r="L592" s="216"/>
      <c r="M592" s="216"/>
      <c r="N592" s="216"/>
      <c r="O592" s="216"/>
      <c r="P592" s="216"/>
      <c r="Q592" s="216"/>
      <c r="R592" s="216"/>
      <c r="S592" s="215"/>
    </row>
    <row r="593" spans="1:19" ht="18.75" customHeight="1" thickBot="1">
      <c r="A593" s="217"/>
      <c r="B593" s="218"/>
      <c r="C593" s="218"/>
      <c r="D593" s="218"/>
      <c r="E593" s="218"/>
      <c r="F593" s="218"/>
      <c r="G593" s="219"/>
      <c r="H593" s="219"/>
      <c r="I593" s="220">
        <f>'1b-Sub-Performance'!A47</f>
        <v>0</v>
      </c>
      <c r="J593" s="219" t="s">
        <v>14</v>
      </c>
      <c r="K593" s="219" t="s">
        <v>16</v>
      </c>
      <c r="L593" s="219"/>
      <c r="M593" s="219"/>
      <c r="N593" s="218"/>
      <c r="O593" s="218"/>
      <c r="P593" s="218"/>
      <c r="Q593" s="218"/>
      <c r="R593" s="218"/>
      <c r="S593" s="221"/>
    </row>
    <row r="594" spans="1:19" ht="33.75" customHeight="1" thickBot="1">
      <c r="A594" s="231" t="s">
        <v>227</v>
      </c>
      <c r="B594" s="232" t="s">
        <v>222</v>
      </c>
      <c r="C594" s="233"/>
      <c r="D594" s="232" t="s">
        <v>223</v>
      </c>
      <c r="E594" s="233"/>
      <c r="F594" s="232" t="s">
        <v>224</v>
      </c>
      <c r="G594" s="233"/>
      <c r="H594" s="232" t="s">
        <v>225</v>
      </c>
      <c r="I594" s="233"/>
      <c r="J594" s="232" t="s">
        <v>226</v>
      </c>
      <c r="K594" s="233"/>
      <c r="L594" s="232" t="s">
        <v>225</v>
      </c>
      <c r="M594" s="233"/>
      <c r="N594" s="232" t="s">
        <v>224</v>
      </c>
      <c r="O594" s="233"/>
      <c r="P594" s="232" t="s">
        <v>223</v>
      </c>
      <c r="Q594" s="233"/>
      <c r="R594" s="232" t="s">
        <v>222</v>
      </c>
      <c r="S594" s="234" t="s">
        <v>227</v>
      </c>
    </row>
    <row r="595" spans="1:19" ht="17.100000000000001" customHeight="1">
      <c r="A595" s="201" t="str">
        <f>'6a-Hierarchy'!$D$4</f>
        <v>Original</v>
      </c>
      <c r="B595" s="169" t="s">
        <v>8</v>
      </c>
      <c r="C595" s="169" t="s">
        <v>7</v>
      </c>
      <c r="D595" s="169" t="s">
        <v>6</v>
      </c>
      <c r="E595" s="169" t="s">
        <v>5</v>
      </c>
      <c r="F595" s="169" t="s">
        <v>4</v>
      </c>
      <c r="G595" s="169" t="s">
        <v>3</v>
      </c>
      <c r="H595" s="169" t="s">
        <v>2</v>
      </c>
      <c r="I595" s="169" t="s">
        <v>1</v>
      </c>
      <c r="J595" s="169" t="s">
        <v>0</v>
      </c>
      <c r="K595" s="169" t="s">
        <v>1</v>
      </c>
      <c r="L595" s="169" t="s">
        <v>2</v>
      </c>
      <c r="M595" s="169" t="s">
        <v>3</v>
      </c>
      <c r="N595" s="169" t="s">
        <v>4</v>
      </c>
      <c r="O595" s="169" t="s">
        <v>5</v>
      </c>
      <c r="P595" s="169" t="s">
        <v>6</v>
      </c>
      <c r="Q595" s="169" t="s">
        <v>7</v>
      </c>
      <c r="R595" s="169" t="s">
        <v>8</v>
      </c>
      <c r="S595" s="170" t="str">
        <f>'6a-Hierarchy'!$E$4</f>
        <v>Alt.1</v>
      </c>
    </row>
    <row r="596" spans="1:19" ht="16.5" customHeight="1">
      <c r="A596" s="202"/>
      <c r="B596" s="46" t="s">
        <v>8</v>
      </c>
      <c r="C596" s="46" t="s">
        <v>7</v>
      </c>
      <c r="D596" s="46" t="s">
        <v>6</v>
      </c>
      <c r="E596" s="46" t="s">
        <v>5</v>
      </c>
      <c r="F596" s="46" t="s">
        <v>4</v>
      </c>
      <c r="G596" s="46" t="s">
        <v>3</v>
      </c>
      <c r="H596" s="46" t="s">
        <v>2</v>
      </c>
      <c r="I596" s="46" t="s">
        <v>1</v>
      </c>
      <c r="J596" s="46" t="s">
        <v>0</v>
      </c>
      <c r="K596" s="46" t="s">
        <v>1</v>
      </c>
      <c r="L596" s="46" t="s">
        <v>2</v>
      </c>
      <c r="M596" s="46" t="s">
        <v>3</v>
      </c>
      <c r="N596" s="46" t="s">
        <v>4</v>
      </c>
      <c r="O596" s="46" t="s">
        <v>5</v>
      </c>
      <c r="P596" s="46" t="s">
        <v>6</v>
      </c>
      <c r="Q596" s="46" t="s">
        <v>7</v>
      </c>
      <c r="R596" s="46" t="s">
        <v>8</v>
      </c>
      <c r="S596" s="203" t="str">
        <f>'6a-Hierarchy'!$F$4</f>
        <v>Alt.2</v>
      </c>
    </row>
    <row r="597" spans="1:19" ht="16.5" customHeight="1">
      <c r="A597" s="202"/>
      <c r="B597" s="46" t="s">
        <v>8</v>
      </c>
      <c r="C597" s="46" t="s">
        <v>7</v>
      </c>
      <c r="D597" s="46" t="s">
        <v>6</v>
      </c>
      <c r="E597" s="46" t="s">
        <v>5</v>
      </c>
      <c r="F597" s="46" t="s">
        <v>4</v>
      </c>
      <c r="G597" s="46" t="s">
        <v>3</v>
      </c>
      <c r="H597" s="46" t="s">
        <v>2</v>
      </c>
      <c r="I597" s="46" t="s">
        <v>1</v>
      </c>
      <c r="J597" s="46" t="s">
        <v>0</v>
      </c>
      <c r="K597" s="46" t="s">
        <v>1</v>
      </c>
      <c r="L597" s="46" t="s">
        <v>2</v>
      </c>
      <c r="M597" s="46" t="s">
        <v>3</v>
      </c>
      <c r="N597" s="46" t="s">
        <v>4</v>
      </c>
      <c r="O597" s="46" t="s">
        <v>5</v>
      </c>
      <c r="P597" s="46" t="s">
        <v>6</v>
      </c>
      <c r="Q597" s="46" t="s">
        <v>7</v>
      </c>
      <c r="R597" s="46" t="s">
        <v>8</v>
      </c>
      <c r="S597" s="203" t="str">
        <f>'6a-Hierarchy'!$G$4</f>
        <v>Alt.3</v>
      </c>
    </row>
    <row r="598" spans="1:19" ht="16.5" customHeight="1" thickBot="1">
      <c r="A598" s="205"/>
      <c r="B598" s="206" t="s">
        <v>8</v>
      </c>
      <c r="C598" s="206" t="s">
        <v>7</v>
      </c>
      <c r="D598" s="206" t="s">
        <v>6</v>
      </c>
      <c r="E598" s="206" t="s">
        <v>5</v>
      </c>
      <c r="F598" s="206" t="s">
        <v>4</v>
      </c>
      <c r="G598" s="206" t="s">
        <v>3</v>
      </c>
      <c r="H598" s="206" t="s">
        <v>2</v>
      </c>
      <c r="I598" s="206" t="s">
        <v>1</v>
      </c>
      <c r="J598" s="206" t="s">
        <v>0</v>
      </c>
      <c r="K598" s="206" t="s">
        <v>1</v>
      </c>
      <c r="L598" s="206" t="s">
        <v>2</v>
      </c>
      <c r="M598" s="206" t="s">
        <v>3</v>
      </c>
      <c r="N598" s="206" t="s">
        <v>4</v>
      </c>
      <c r="O598" s="206" t="s">
        <v>5</v>
      </c>
      <c r="P598" s="206" t="s">
        <v>6</v>
      </c>
      <c r="Q598" s="206" t="s">
        <v>7</v>
      </c>
      <c r="R598" s="206" t="s">
        <v>8</v>
      </c>
      <c r="S598" s="207" t="e">
        <f>'6a-Hierarchy'!#REF!</f>
        <v>#REF!</v>
      </c>
    </row>
    <row r="599" spans="1:19" ht="16.5" customHeight="1">
      <c r="A599" s="201" t="str">
        <f>'6a-Hierarchy'!$E$4</f>
        <v>Alt.1</v>
      </c>
      <c r="B599" s="169" t="s">
        <v>8</v>
      </c>
      <c r="C599" s="169" t="s">
        <v>7</v>
      </c>
      <c r="D599" s="169" t="s">
        <v>6</v>
      </c>
      <c r="E599" s="169" t="s">
        <v>5</v>
      </c>
      <c r="F599" s="169" t="s">
        <v>4</v>
      </c>
      <c r="G599" s="169" t="s">
        <v>3</v>
      </c>
      <c r="H599" s="169" t="s">
        <v>2</v>
      </c>
      <c r="I599" s="169" t="s">
        <v>1</v>
      </c>
      <c r="J599" s="169" t="s">
        <v>0</v>
      </c>
      <c r="K599" s="169" t="s">
        <v>1</v>
      </c>
      <c r="L599" s="169" t="s">
        <v>2</v>
      </c>
      <c r="M599" s="169" t="s">
        <v>3</v>
      </c>
      <c r="N599" s="169" t="s">
        <v>4</v>
      </c>
      <c r="O599" s="169" t="s">
        <v>5</v>
      </c>
      <c r="P599" s="169" t="s">
        <v>6</v>
      </c>
      <c r="Q599" s="169" t="s">
        <v>7</v>
      </c>
      <c r="R599" s="169" t="s">
        <v>8</v>
      </c>
      <c r="S599" s="170" t="str">
        <f>'6a-Hierarchy'!$F$4</f>
        <v>Alt.2</v>
      </c>
    </row>
    <row r="600" spans="1:19" ht="16.5" customHeight="1">
      <c r="A600" s="202"/>
      <c r="B600" s="46" t="s">
        <v>8</v>
      </c>
      <c r="C600" s="46" t="s">
        <v>7</v>
      </c>
      <c r="D600" s="46" t="s">
        <v>6</v>
      </c>
      <c r="E600" s="46" t="s">
        <v>5</v>
      </c>
      <c r="F600" s="46" t="s">
        <v>4</v>
      </c>
      <c r="G600" s="46" t="s">
        <v>3</v>
      </c>
      <c r="H600" s="46" t="s">
        <v>2</v>
      </c>
      <c r="I600" s="46" t="s">
        <v>1</v>
      </c>
      <c r="J600" s="46" t="s">
        <v>0</v>
      </c>
      <c r="K600" s="46" t="s">
        <v>1</v>
      </c>
      <c r="L600" s="46" t="s">
        <v>2</v>
      </c>
      <c r="M600" s="46" t="s">
        <v>3</v>
      </c>
      <c r="N600" s="46" t="s">
        <v>4</v>
      </c>
      <c r="O600" s="46" t="s">
        <v>5</v>
      </c>
      <c r="P600" s="46" t="s">
        <v>6</v>
      </c>
      <c r="Q600" s="46" t="s">
        <v>7</v>
      </c>
      <c r="R600" s="46" t="s">
        <v>8</v>
      </c>
      <c r="S600" s="203" t="str">
        <f>'6a-Hierarchy'!$G$4</f>
        <v>Alt.3</v>
      </c>
    </row>
    <row r="601" spans="1:19" ht="16.5" customHeight="1" thickBot="1">
      <c r="A601" s="205"/>
      <c r="B601" s="206" t="s">
        <v>8</v>
      </c>
      <c r="C601" s="206" t="s">
        <v>7</v>
      </c>
      <c r="D601" s="206" t="s">
        <v>6</v>
      </c>
      <c r="E601" s="206" t="s">
        <v>5</v>
      </c>
      <c r="F601" s="206" t="s">
        <v>4</v>
      </c>
      <c r="G601" s="206" t="s">
        <v>3</v>
      </c>
      <c r="H601" s="206" t="s">
        <v>2</v>
      </c>
      <c r="I601" s="206" t="s">
        <v>1</v>
      </c>
      <c r="J601" s="206" t="s">
        <v>0</v>
      </c>
      <c r="K601" s="206" t="s">
        <v>1</v>
      </c>
      <c r="L601" s="206" t="s">
        <v>2</v>
      </c>
      <c r="M601" s="206" t="s">
        <v>3</v>
      </c>
      <c r="N601" s="206" t="s">
        <v>4</v>
      </c>
      <c r="O601" s="206" t="s">
        <v>5</v>
      </c>
      <c r="P601" s="206" t="s">
        <v>6</v>
      </c>
      <c r="Q601" s="206" t="s">
        <v>7</v>
      </c>
      <c r="R601" s="206" t="s">
        <v>8</v>
      </c>
      <c r="S601" s="207" t="e">
        <f>'6a-Hierarchy'!#REF!</f>
        <v>#REF!</v>
      </c>
    </row>
    <row r="602" spans="1:19" ht="16.5" customHeight="1">
      <c r="A602" s="201" t="str">
        <f>'6a-Hierarchy'!$F$4</f>
        <v>Alt.2</v>
      </c>
      <c r="B602" s="169" t="s">
        <v>8</v>
      </c>
      <c r="C602" s="169" t="s">
        <v>7</v>
      </c>
      <c r="D602" s="169" t="s">
        <v>6</v>
      </c>
      <c r="E602" s="169" t="s">
        <v>5</v>
      </c>
      <c r="F602" s="169" t="s">
        <v>4</v>
      </c>
      <c r="G602" s="169" t="s">
        <v>3</v>
      </c>
      <c r="H602" s="169" t="s">
        <v>2</v>
      </c>
      <c r="I602" s="169" t="s">
        <v>1</v>
      </c>
      <c r="J602" s="169" t="s">
        <v>0</v>
      </c>
      <c r="K602" s="169" t="s">
        <v>1</v>
      </c>
      <c r="L602" s="169" t="s">
        <v>2</v>
      </c>
      <c r="M602" s="169" t="s">
        <v>3</v>
      </c>
      <c r="N602" s="169" t="s">
        <v>4</v>
      </c>
      <c r="O602" s="169" t="s">
        <v>5</v>
      </c>
      <c r="P602" s="169" t="s">
        <v>6</v>
      </c>
      <c r="Q602" s="169" t="s">
        <v>7</v>
      </c>
      <c r="R602" s="169" t="s">
        <v>8</v>
      </c>
      <c r="S602" s="170" t="str">
        <f>'6a-Hierarchy'!$G$4</f>
        <v>Alt.3</v>
      </c>
    </row>
    <row r="603" spans="1:19" ht="16.5" customHeight="1" thickBot="1">
      <c r="A603" s="205"/>
      <c r="B603" s="206" t="s">
        <v>8</v>
      </c>
      <c r="C603" s="206" t="s">
        <v>7</v>
      </c>
      <c r="D603" s="206" t="s">
        <v>6</v>
      </c>
      <c r="E603" s="206" t="s">
        <v>5</v>
      </c>
      <c r="F603" s="206" t="s">
        <v>4</v>
      </c>
      <c r="G603" s="206" t="s">
        <v>3</v>
      </c>
      <c r="H603" s="206" t="s">
        <v>2</v>
      </c>
      <c r="I603" s="206" t="s">
        <v>1</v>
      </c>
      <c r="J603" s="206" t="s">
        <v>0</v>
      </c>
      <c r="K603" s="206" t="s">
        <v>1</v>
      </c>
      <c r="L603" s="206" t="s">
        <v>2</v>
      </c>
      <c r="M603" s="206" t="s">
        <v>3</v>
      </c>
      <c r="N603" s="206" t="s">
        <v>4</v>
      </c>
      <c r="O603" s="206" t="s">
        <v>5</v>
      </c>
      <c r="P603" s="206" t="s">
        <v>6</v>
      </c>
      <c r="Q603" s="206" t="s">
        <v>7</v>
      </c>
      <c r="R603" s="206" t="s">
        <v>8</v>
      </c>
      <c r="S603" s="207" t="e">
        <f>'6a-Hierarchy'!#REF!</f>
        <v>#REF!</v>
      </c>
    </row>
    <row r="604" spans="1:19" ht="16.5" customHeight="1" thickBot="1">
      <c r="A604" s="213" t="str">
        <f>'6a-Hierarchy'!$G$4</f>
        <v>Alt.3</v>
      </c>
      <c r="B604" s="222" t="s">
        <v>8</v>
      </c>
      <c r="C604" s="222" t="s">
        <v>7</v>
      </c>
      <c r="D604" s="222" t="s">
        <v>6</v>
      </c>
      <c r="E604" s="222" t="s">
        <v>5</v>
      </c>
      <c r="F604" s="222" t="s">
        <v>4</v>
      </c>
      <c r="G604" s="222" t="s">
        <v>3</v>
      </c>
      <c r="H604" s="222" t="s">
        <v>2</v>
      </c>
      <c r="I604" s="222" t="s">
        <v>1</v>
      </c>
      <c r="J604" s="222" t="s">
        <v>0</v>
      </c>
      <c r="K604" s="222" t="s">
        <v>1</v>
      </c>
      <c r="L604" s="222" t="s">
        <v>2</v>
      </c>
      <c r="M604" s="222" t="s">
        <v>3</v>
      </c>
      <c r="N604" s="222" t="s">
        <v>4</v>
      </c>
      <c r="O604" s="222" t="s">
        <v>5</v>
      </c>
      <c r="P604" s="222" t="s">
        <v>6</v>
      </c>
      <c r="Q604" s="222" t="s">
        <v>7</v>
      </c>
      <c r="R604" s="222" t="s">
        <v>8</v>
      </c>
      <c r="S604" s="214" t="e">
        <f>'6a-Hierarchy'!#REF!</f>
        <v>#REF!</v>
      </c>
    </row>
    <row r="605" spans="1:19" ht="7.5" customHeight="1" thickBot="1">
      <c r="A605" s="215"/>
      <c r="B605" s="216"/>
      <c r="C605" s="216"/>
      <c r="D605" s="216"/>
      <c r="E605" s="216"/>
      <c r="F605" s="216"/>
      <c r="G605" s="216"/>
      <c r="H605" s="216"/>
      <c r="I605" s="216"/>
      <c r="J605" s="216"/>
      <c r="K605" s="216"/>
      <c r="L605" s="216"/>
      <c r="M605" s="216"/>
      <c r="N605" s="216"/>
      <c r="O605" s="216"/>
      <c r="P605" s="216"/>
      <c r="Q605" s="216"/>
      <c r="R605" s="216"/>
      <c r="S605" s="215"/>
    </row>
    <row r="606" spans="1:19" ht="18.75" customHeight="1" thickBot="1">
      <c r="A606" s="217"/>
      <c r="B606" s="218"/>
      <c r="C606" s="218"/>
      <c r="D606" s="218"/>
      <c r="E606" s="218"/>
      <c r="F606" s="218"/>
      <c r="G606" s="219"/>
      <c r="H606" s="219"/>
      <c r="I606" s="220">
        <f>'1b-Sub-Performance'!A48</f>
        <v>0</v>
      </c>
      <c r="J606" s="219" t="s">
        <v>14</v>
      </c>
      <c r="K606" s="219" t="s">
        <v>16</v>
      </c>
      <c r="L606" s="219"/>
      <c r="M606" s="219"/>
      <c r="N606" s="218"/>
      <c r="O606" s="218"/>
      <c r="P606" s="218"/>
      <c r="Q606" s="218"/>
      <c r="R606" s="218"/>
      <c r="S606" s="221"/>
    </row>
    <row r="607" spans="1:19" ht="33.75" customHeight="1" thickBot="1">
      <c r="A607" s="231" t="s">
        <v>227</v>
      </c>
      <c r="B607" s="232" t="s">
        <v>222</v>
      </c>
      <c r="C607" s="233"/>
      <c r="D607" s="232" t="s">
        <v>223</v>
      </c>
      <c r="E607" s="233"/>
      <c r="F607" s="232" t="s">
        <v>224</v>
      </c>
      <c r="G607" s="233"/>
      <c r="H607" s="232" t="s">
        <v>225</v>
      </c>
      <c r="I607" s="233"/>
      <c r="J607" s="232" t="s">
        <v>226</v>
      </c>
      <c r="K607" s="233"/>
      <c r="L607" s="232" t="s">
        <v>225</v>
      </c>
      <c r="M607" s="233"/>
      <c r="N607" s="232" t="s">
        <v>224</v>
      </c>
      <c r="O607" s="233"/>
      <c r="P607" s="232" t="s">
        <v>223</v>
      </c>
      <c r="Q607" s="233"/>
      <c r="R607" s="232" t="s">
        <v>222</v>
      </c>
      <c r="S607" s="234" t="s">
        <v>227</v>
      </c>
    </row>
    <row r="608" spans="1:19" ht="17.100000000000001" customHeight="1">
      <c r="A608" s="201" t="str">
        <f>'6a-Hierarchy'!$D$4</f>
        <v>Original</v>
      </c>
      <c r="B608" s="169" t="s">
        <v>8</v>
      </c>
      <c r="C608" s="169" t="s">
        <v>7</v>
      </c>
      <c r="D608" s="169" t="s">
        <v>6</v>
      </c>
      <c r="E608" s="169" t="s">
        <v>5</v>
      </c>
      <c r="F608" s="169" t="s">
        <v>4</v>
      </c>
      <c r="G608" s="169" t="s">
        <v>3</v>
      </c>
      <c r="H608" s="169" t="s">
        <v>2</v>
      </c>
      <c r="I608" s="169" t="s">
        <v>1</v>
      </c>
      <c r="J608" s="169" t="s">
        <v>0</v>
      </c>
      <c r="K608" s="169" t="s">
        <v>1</v>
      </c>
      <c r="L608" s="169" t="s">
        <v>2</v>
      </c>
      <c r="M608" s="169" t="s">
        <v>3</v>
      </c>
      <c r="N608" s="169" t="s">
        <v>4</v>
      </c>
      <c r="O608" s="169" t="s">
        <v>5</v>
      </c>
      <c r="P608" s="169" t="s">
        <v>6</v>
      </c>
      <c r="Q608" s="169" t="s">
        <v>7</v>
      </c>
      <c r="R608" s="169" t="s">
        <v>8</v>
      </c>
      <c r="S608" s="170" t="str">
        <f>'6a-Hierarchy'!$E$4</f>
        <v>Alt.1</v>
      </c>
    </row>
    <row r="609" spans="1:19" ht="16.5" customHeight="1">
      <c r="A609" s="202"/>
      <c r="B609" s="46" t="s">
        <v>8</v>
      </c>
      <c r="C609" s="46" t="s">
        <v>7</v>
      </c>
      <c r="D609" s="46" t="s">
        <v>6</v>
      </c>
      <c r="E609" s="46" t="s">
        <v>5</v>
      </c>
      <c r="F609" s="46" t="s">
        <v>4</v>
      </c>
      <c r="G609" s="46" t="s">
        <v>3</v>
      </c>
      <c r="H609" s="46" t="s">
        <v>2</v>
      </c>
      <c r="I609" s="46" t="s">
        <v>1</v>
      </c>
      <c r="J609" s="46" t="s">
        <v>0</v>
      </c>
      <c r="K609" s="46" t="s">
        <v>1</v>
      </c>
      <c r="L609" s="46" t="s">
        <v>2</v>
      </c>
      <c r="M609" s="46" t="s">
        <v>3</v>
      </c>
      <c r="N609" s="46" t="s">
        <v>4</v>
      </c>
      <c r="O609" s="46" t="s">
        <v>5</v>
      </c>
      <c r="P609" s="46" t="s">
        <v>6</v>
      </c>
      <c r="Q609" s="46" t="s">
        <v>7</v>
      </c>
      <c r="R609" s="46" t="s">
        <v>8</v>
      </c>
      <c r="S609" s="203" t="str">
        <f>'6a-Hierarchy'!$F$4</f>
        <v>Alt.2</v>
      </c>
    </row>
    <row r="610" spans="1:19" ht="16.5" customHeight="1">
      <c r="A610" s="202"/>
      <c r="B610" s="46" t="s">
        <v>8</v>
      </c>
      <c r="C610" s="46" t="s">
        <v>7</v>
      </c>
      <c r="D610" s="46" t="s">
        <v>6</v>
      </c>
      <c r="E610" s="46" t="s">
        <v>5</v>
      </c>
      <c r="F610" s="46" t="s">
        <v>4</v>
      </c>
      <c r="G610" s="46" t="s">
        <v>3</v>
      </c>
      <c r="H610" s="46" t="s">
        <v>2</v>
      </c>
      <c r="I610" s="46" t="s">
        <v>1</v>
      </c>
      <c r="J610" s="46" t="s">
        <v>0</v>
      </c>
      <c r="K610" s="46" t="s">
        <v>1</v>
      </c>
      <c r="L610" s="46" t="s">
        <v>2</v>
      </c>
      <c r="M610" s="46" t="s">
        <v>3</v>
      </c>
      <c r="N610" s="46" t="s">
        <v>4</v>
      </c>
      <c r="O610" s="46" t="s">
        <v>5</v>
      </c>
      <c r="P610" s="46" t="s">
        <v>6</v>
      </c>
      <c r="Q610" s="46" t="s">
        <v>7</v>
      </c>
      <c r="R610" s="46" t="s">
        <v>8</v>
      </c>
      <c r="S610" s="203" t="str">
        <f>'6a-Hierarchy'!$G$4</f>
        <v>Alt.3</v>
      </c>
    </row>
    <row r="611" spans="1:19" ht="16.5" customHeight="1" thickBot="1">
      <c r="A611" s="205"/>
      <c r="B611" s="206" t="s">
        <v>8</v>
      </c>
      <c r="C611" s="206" t="s">
        <v>7</v>
      </c>
      <c r="D611" s="206" t="s">
        <v>6</v>
      </c>
      <c r="E611" s="206" t="s">
        <v>5</v>
      </c>
      <c r="F611" s="206" t="s">
        <v>4</v>
      </c>
      <c r="G611" s="206" t="s">
        <v>3</v>
      </c>
      <c r="H611" s="206" t="s">
        <v>2</v>
      </c>
      <c r="I611" s="206" t="s">
        <v>1</v>
      </c>
      <c r="J611" s="206" t="s">
        <v>0</v>
      </c>
      <c r="K611" s="206" t="s">
        <v>1</v>
      </c>
      <c r="L611" s="206" t="s">
        <v>2</v>
      </c>
      <c r="M611" s="206" t="s">
        <v>3</v>
      </c>
      <c r="N611" s="206" t="s">
        <v>4</v>
      </c>
      <c r="O611" s="206" t="s">
        <v>5</v>
      </c>
      <c r="P611" s="206" t="s">
        <v>6</v>
      </c>
      <c r="Q611" s="206" t="s">
        <v>7</v>
      </c>
      <c r="R611" s="206" t="s">
        <v>8</v>
      </c>
      <c r="S611" s="207" t="e">
        <f>'6a-Hierarchy'!#REF!</f>
        <v>#REF!</v>
      </c>
    </row>
    <row r="612" spans="1:19" ht="16.5" customHeight="1">
      <c r="A612" s="201" t="str">
        <f>'6a-Hierarchy'!$E$4</f>
        <v>Alt.1</v>
      </c>
      <c r="B612" s="169" t="s">
        <v>8</v>
      </c>
      <c r="C612" s="169" t="s">
        <v>7</v>
      </c>
      <c r="D612" s="169" t="s">
        <v>6</v>
      </c>
      <c r="E612" s="169" t="s">
        <v>5</v>
      </c>
      <c r="F612" s="169" t="s">
        <v>4</v>
      </c>
      <c r="G612" s="169" t="s">
        <v>3</v>
      </c>
      <c r="H612" s="169" t="s">
        <v>2</v>
      </c>
      <c r="I612" s="169" t="s">
        <v>1</v>
      </c>
      <c r="J612" s="169" t="s">
        <v>0</v>
      </c>
      <c r="K612" s="169" t="s">
        <v>1</v>
      </c>
      <c r="L612" s="169" t="s">
        <v>2</v>
      </c>
      <c r="M612" s="169" t="s">
        <v>3</v>
      </c>
      <c r="N612" s="169" t="s">
        <v>4</v>
      </c>
      <c r="O612" s="169" t="s">
        <v>5</v>
      </c>
      <c r="P612" s="169" t="s">
        <v>6</v>
      </c>
      <c r="Q612" s="169" t="s">
        <v>7</v>
      </c>
      <c r="R612" s="169" t="s">
        <v>8</v>
      </c>
      <c r="S612" s="170" t="str">
        <f>'6a-Hierarchy'!$F$4</f>
        <v>Alt.2</v>
      </c>
    </row>
    <row r="613" spans="1:19" ht="16.5" customHeight="1">
      <c r="A613" s="202"/>
      <c r="B613" s="46" t="s">
        <v>8</v>
      </c>
      <c r="C613" s="46" t="s">
        <v>7</v>
      </c>
      <c r="D613" s="46" t="s">
        <v>6</v>
      </c>
      <c r="E613" s="46" t="s">
        <v>5</v>
      </c>
      <c r="F613" s="46" t="s">
        <v>4</v>
      </c>
      <c r="G613" s="46" t="s">
        <v>3</v>
      </c>
      <c r="H613" s="46" t="s">
        <v>2</v>
      </c>
      <c r="I613" s="46" t="s">
        <v>1</v>
      </c>
      <c r="J613" s="46" t="s">
        <v>0</v>
      </c>
      <c r="K613" s="46" t="s">
        <v>1</v>
      </c>
      <c r="L613" s="46" t="s">
        <v>2</v>
      </c>
      <c r="M613" s="46" t="s">
        <v>3</v>
      </c>
      <c r="N613" s="46" t="s">
        <v>4</v>
      </c>
      <c r="O613" s="46" t="s">
        <v>5</v>
      </c>
      <c r="P613" s="46" t="s">
        <v>6</v>
      </c>
      <c r="Q613" s="46" t="s">
        <v>7</v>
      </c>
      <c r="R613" s="46" t="s">
        <v>8</v>
      </c>
      <c r="S613" s="203" t="str">
        <f>'6a-Hierarchy'!$G$4</f>
        <v>Alt.3</v>
      </c>
    </row>
    <row r="614" spans="1:19" ht="16.5" customHeight="1" thickBot="1">
      <c r="A614" s="205"/>
      <c r="B614" s="206" t="s">
        <v>8</v>
      </c>
      <c r="C614" s="206" t="s">
        <v>7</v>
      </c>
      <c r="D614" s="206" t="s">
        <v>6</v>
      </c>
      <c r="E614" s="206" t="s">
        <v>5</v>
      </c>
      <c r="F614" s="206" t="s">
        <v>4</v>
      </c>
      <c r="G614" s="206" t="s">
        <v>3</v>
      </c>
      <c r="H614" s="206" t="s">
        <v>2</v>
      </c>
      <c r="I614" s="206" t="s">
        <v>1</v>
      </c>
      <c r="J614" s="206" t="s">
        <v>0</v>
      </c>
      <c r="K614" s="206" t="s">
        <v>1</v>
      </c>
      <c r="L614" s="206" t="s">
        <v>2</v>
      </c>
      <c r="M614" s="206" t="s">
        <v>3</v>
      </c>
      <c r="N614" s="206" t="s">
        <v>4</v>
      </c>
      <c r="O614" s="206" t="s">
        <v>5</v>
      </c>
      <c r="P614" s="206" t="s">
        <v>6</v>
      </c>
      <c r="Q614" s="206" t="s">
        <v>7</v>
      </c>
      <c r="R614" s="206" t="s">
        <v>8</v>
      </c>
      <c r="S614" s="207" t="e">
        <f>'6a-Hierarchy'!#REF!</f>
        <v>#REF!</v>
      </c>
    </row>
    <row r="615" spans="1:19" ht="16.5" customHeight="1">
      <c r="A615" s="201" t="str">
        <f>'6a-Hierarchy'!$F$4</f>
        <v>Alt.2</v>
      </c>
      <c r="B615" s="169" t="s">
        <v>8</v>
      </c>
      <c r="C615" s="169" t="s">
        <v>7</v>
      </c>
      <c r="D615" s="169" t="s">
        <v>6</v>
      </c>
      <c r="E615" s="169" t="s">
        <v>5</v>
      </c>
      <c r="F615" s="169" t="s">
        <v>4</v>
      </c>
      <c r="G615" s="169" t="s">
        <v>3</v>
      </c>
      <c r="H615" s="169" t="s">
        <v>2</v>
      </c>
      <c r="I615" s="169" t="s">
        <v>1</v>
      </c>
      <c r="J615" s="169" t="s">
        <v>0</v>
      </c>
      <c r="K615" s="169" t="s">
        <v>1</v>
      </c>
      <c r="L615" s="169" t="s">
        <v>2</v>
      </c>
      <c r="M615" s="169" t="s">
        <v>3</v>
      </c>
      <c r="N615" s="169" t="s">
        <v>4</v>
      </c>
      <c r="O615" s="169" t="s">
        <v>5</v>
      </c>
      <c r="P615" s="169" t="s">
        <v>6</v>
      </c>
      <c r="Q615" s="169" t="s">
        <v>7</v>
      </c>
      <c r="R615" s="169" t="s">
        <v>8</v>
      </c>
      <c r="S615" s="170" t="str">
        <f>'6a-Hierarchy'!$G$4</f>
        <v>Alt.3</v>
      </c>
    </row>
    <row r="616" spans="1:19" ht="16.5" customHeight="1" thickBot="1">
      <c r="A616" s="205"/>
      <c r="B616" s="206" t="s">
        <v>8</v>
      </c>
      <c r="C616" s="206" t="s">
        <v>7</v>
      </c>
      <c r="D616" s="206" t="s">
        <v>6</v>
      </c>
      <c r="E616" s="206" t="s">
        <v>5</v>
      </c>
      <c r="F616" s="206" t="s">
        <v>4</v>
      </c>
      <c r="G616" s="206" t="s">
        <v>3</v>
      </c>
      <c r="H616" s="206" t="s">
        <v>2</v>
      </c>
      <c r="I616" s="206" t="s">
        <v>1</v>
      </c>
      <c r="J616" s="206" t="s">
        <v>0</v>
      </c>
      <c r="K616" s="206" t="s">
        <v>1</v>
      </c>
      <c r="L616" s="206" t="s">
        <v>2</v>
      </c>
      <c r="M616" s="206" t="s">
        <v>3</v>
      </c>
      <c r="N616" s="206" t="s">
        <v>4</v>
      </c>
      <c r="O616" s="206" t="s">
        <v>5</v>
      </c>
      <c r="P616" s="206" t="s">
        <v>6</v>
      </c>
      <c r="Q616" s="206" t="s">
        <v>7</v>
      </c>
      <c r="R616" s="206" t="s">
        <v>8</v>
      </c>
      <c r="S616" s="207" t="e">
        <f>'6a-Hierarchy'!#REF!</f>
        <v>#REF!</v>
      </c>
    </row>
    <row r="617" spans="1:19" ht="16.5" customHeight="1" thickBot="1">
      <c r="A617" s="213" t="str">
        <f>'6a-Hierarchy'!$G$4</f>
        <v>Alt.3</v>
      </c>
      <c r="B617" s="222" t="s">
        <v>8</v>
      </c>
      <c r="C617" s="222" t="s">
        <v>7</v>
      </c>
      <c r="D617" s="222" t="s">
        <v>6</v>
      </c>
      <c r="E617" s="222" t="s">
        <v>5</v>
      </c>
      <c r="F617" s="222" t="s">
        <v>4</v>
      </c>
      <c r="G617" s="222" t="s">
        <v>3</v>
      </c>
      <c r="H617" s="222" t="s">
        <v>2</v>
      </c>
      <c r="I617" s="222" t="s">
        <v>1</v>
      </c>
      <c r="J617" s="222" t="s">
        <v>0</v>
      </c>
      <c r="K617" s="222" t="s">
        <v>1</v>
      </c>
      <c r="L617" s="222" t="s">
        <v>2</v>
      </c>
      <c r="M617" s="222" t="s">
        <v>3</v>
      </c>
      <c r="N617" s="222" t="s">
        <v>4</v>
      </c>
      <c r="O617" s="222" t="s">
        <v>5</v>
      </c>
      <c r="P617" s="222" t="s">
        <v>6</v>
      </c>
      <c r="Q617" s="222" t="s">
        <v>7</v>
      </c>
      <c r="R617" s="222" t="s">
        <v>8</v>
      </c>
      <c r="S617" s="214" t="e">
        <f>'6a-Hierarchy'!#REF!</f>
        <v>#REF!</v>
      </c>
    </row>
    <row r="618" spans="1:19" ht="7.5" customHeight="1" thickBot="1">
      <c r="A618" s="215"/>
      <c r="B618" s="216"/>
      <c r="C618" s="216"/>
      <c r="D618" s="216"/>
      <c r="E618" s="216"/>
      <c r="F618" s="216"/>
      <c r="G618" s="216"/>
      <c r="H618" s="216"/>
      <c r="I618" s="216"/>
      <c r="J618" s="216"/>
      <c r="K618" s="216"/>
      <c r="L618" s="216"/>
      <c r="M618" s="216"/>
      <c r="N618" s="216"/>
      <c r="O618" s="216"/>
      <c r="P618" s="216"/>
      <c r="Q618" s="216"/>
      <c r="R618" s="216"/>
      <c r="S618" s="215"/>
    </row>
    <row r="619" spans="1:19" ht="18.75" customHeight="1" thickBot="1">
      <c r="A619" s="217"/>
      <c r="B619" s="218"/>
      <c r="C619" s="218"/>
      <c r="D619" s="218"/>
      <c r="E619" s="218"/>
      <c r="F619" s="218"/>
      <c r="G619" s="219"/>
      <c r="H619" s="219"/>
      <c r="I619" s="220">
        <f>'1b-Sub-Performance'!A49</f>
        <v>0</v>
      </c>
      <c r="J619" s="219" t="s">
        <v>14</v>
      </c>
      <c r="K619" s="219" t="s">
        <v>16</v>
      </c>
      <c r="L619" s="219"/>
      <c r="M619" s="219"/>
      <c r="N619" s="218"/>
      <c r="O619" s="218"/>
      <c r="P619" s="218"/>
      <c r="Q619" s="218"/>
      <c r="R619" s="218"/>
      <c r="S619" s="221"/>
    </row>
    <row r="620" spans="1:19" ht="33.75" customHeight="1" thickBot="1">
      <c r="A620" s="231" t="s">
        <v>227</v>
      </c>
      <c r="B620" s="232" t="s">
        <v>222</v>
      </c>
      <c r="C620" s="233"/>
      <c r="D620" s="232" t="s">
        <v>223</v>
      </c>
      <c r="E620" s="233"/>
      <c r="F620" s="232" t="s">
        <v>224</v>
      </c>
      <c r="G620" s="233"/>
      <c r="H620" s="232" t="s">
        <v>225</v>
      </c>
      <c r="I620" s="233"/>
      <c r="J620" s="232" t="s">
        <v>226</v>
      </c>
      <c r="K620" s="233"/>
      <c r="L620" s="232" t="s">
        <v>225</v>
      </c>
      <c r="M620" s="233"/>
      <c r="N620" s="232" t="s">
        <v>224</v>
      </c>
      <c r="O620" s="233"/>
      <c r="P620" s="232" t="s">
        <v>223</v>
      </c>
      <c r="Q620" s="233"/>
      <c r="R620" s="232" t="s">
        <v>222</v>
      </c>
      <c r="S620" s="234" t="s">
        <v>227</v>
      </c>
    </row>
    <row r="621" spans="1:19" ht="17.100000000000001" customHeight="1">
      <c r="A621" s="201" t="str">
        <f>'6a-Hierarchy'!$D$4</f>
        <v>Original</v>
      </c>
      <c r="B621" s="169" t="s">
        <v>8</v>
      </c>
      <c r="C621" s="169" t="s">
        <v>7</v>
      </c>
      <c r="D621" s="169" t="s">
        <v>6</v>
      </c>
      <c r="E621" s="169" t="s">
        <v>5</v>
      </c>
      <c r="F621" s="169" t="s">
        <v>4</v>
      </c>
      <c r="G621" s="169" t="s">
        <v>3</v>
      </c>
      <c r="H621" s="169" t="s">
        <v>2</v>
      </c>
      <c r="I621" s="169" t="s">
        <v>1</v>
      </c>
      <c r="J621" s="169" t="s">
        <v>0</v>
      </c>
      <c r="K621" s="169" t="s">
        <v>1</v>
      </c>
      <c r="L621" s="169" t="s">
        <v>2</v>
      </c>
      <c r="M621" s="169" t="s">
        <v>3</v>
      </c>
      <c r="N621" s="169" t="s">
        <v>4</v>
      </c>
      <c r="O621" s="169" t="s">
        <v>5</v>
      </c>
      <c r="P621" s="169" t="s">
        <v>6</v>
      </c>
      <c r="Q621" s="169" t="s">
        <v>7</v>
      </c>
      <c r="R621" s="169" t="s">
        <v>8</v>
      </c>
      <c r="S621" s="170" t="str">
        <f>'6a-Hierarchy'!$E$4</f>
        <v>Alt.1</v>
      </c>
    </row>
    <row r="622" spans="1:19" ht="16.5" customHeight="1">
      <c r="A622" s="202"/>
      <c r="B622" s="46" t="s">
        <v>8</v>
      </c>
      <c r="C622" s="46" t="s">
        <v>7</v>
      </c>
      <c r="D622" s="46" t="s">
        <v>6</v>
      </c>
      <c r="E622" s="46" t="s">
        <v>5</v>
      </c>
      <c r="F622" s="46" t="s">
        <v>4</v>
      </c>
      <c r="G622" s="46" t="s">
        <v>3</v>
      </c>
      <c r="H622" s="46" t="s">
        <v>2</v>
      </c>
      <c r="I622" s="46" t="s">
        <v>1</v>
      </c>
      <c r="J622" s="46" t="s">
        <v>0</v>
      </c>
      <c r="K622" s="46" t="s">
        <v>1</v>
      </c>
      <c r="L622" s="46" t="s">
        <v>2</v>
      </c>
      <c r="M622" s="46" t="s">
        <v>3</v>
      </c>
      <c r="N622" s="46" t="s">
        <v>4</v>
      </c>
      <c r="O622" s="46" t="s">
        <v>5</v>
      </c>
      <c r="P622" s="46" t="s">
        <v>6</v>
      </c>
      <c r="Q622" s="46" t="s">
        <v>7</v>
      </c>
      <c r="R622" s="46" t="s">
        <v>8</v>
      </c>
      <c r="S622" s="203" t="str">
        <f>'6a-Hierarchy'!$F$4</f>
        <v>Alt.2</v>
      </c>
    </row>
    <row r="623" spans="1:19" ht="16.5" customHeight="1">
      <c r="A623" s="202"/>
      <c r="B623" s="46" t="s">
        <v>8</v>
      </c>
      <c r="C623" s="46" t="s">
        <v>7</v>
      </c>
      <c r="D623" s="46" t="s">
        <v>6</v>
      </c>
      <c r="E623" s="46" t="s">
        <v>5</v>
      </c>
      <c r="F623" s="46" t="s">
        <v>4</v>
      </c>
      <c r="G623" s="46" t="s">
        <v>3</v>
      </c>
      <c r="H623" s="46" t="s">
        <v>2</v>
      </c>
      <c r="I623" s="46" t="s">
        <v>1</v>
      </c>
      <c r="J623" s="46" t="s">
        <v>0</v>
      </c>
      <c r="K623" s="46" t="s">
        <v>1</v>
      </c>
      <c r="L623" s="46" t="s">
        <v>2</v>
      </c>
      <c r="M623" s="46" t="s">
        <v>3</v>
      </c>
      <c r="N623" s="46" t="s">
        <v>4</v>
      </c>
      <c r="O623" s="46" t="s">
        <v>5</v>
      </c>
      <c r="P623" s="46" t="s">
        <v>6</v>
      </c>
      <c r="Q623" s="46" t="s">
        <v>7</v>
      </c>
      <c r="R623" s="46" t="s">
        <v>8</v>
      </c>
      <c r="S623" s="203" t="str">
        <f>'6a-Hierarchy'!$G$4</f>
        <v>Alt.3</v>
      </c>
    </row>
    <row r="624" spans="1:19" ht="16.5" customHeight="1" thickBot="1">
      <c r="A624" s="205"/>
      <c r="B624" s="206" t="s">
        <v>8</v>
      </c>
      <c r="C624" s="206" t="s">
        <v>7</v>
      </c>
      <c r="D624" s="206" t="s">
        <v>6</v>
      </c>
      <c r="E624" s="206" t="s">
        <v>5</v>
      </c>
      <c r="F624" s="206" t="s">
        <v>4</v>
      </c>
      <c r="G624" s="206" t="s">
        <v>3</v>
      </c>
      <c r="H624" s="206" t="s">
        <v>2</v>
      </c>
      <c r="I624" s="206" t="s">
        <v>1</v>
      </c>
      <c r="J624" s="206" t="s">
        <v>0</v>
      </c>
      <c r="K624" s="206" t="s">
        <v>1</v>
      </c>
      <c r="L624" s="206" t="s">
        <v>2</v>
      </c>
      <c r="M624" s="206" t="s">
        <v>3</v>
      </c>
      <c r="N624" s="206" t="s">
        <v>4</v>
      </c>
      <c r="O624" s="206" t="s">
        <v>5</v>
      </c>
      <c r="P624" s="206" t="s">
        <v>6</v>
      </c>
      <c r="Q624" s="206" t="s">
        <v>7</v>
      </c>
      <c r="R624" s="206" t="s">
        <v>8</v>
      </c>
      <c r="S624" s="207" t="e">
        <f>'6a-Hierarchy'!#REF!</f>
        <v>#REF!</v>
      </c>
    </row>
    <row r="625" spans="1:19" ht="16.5" customHeight="1">
      <c r="A625" s="201" t="str">
        <f>'6a-Hierarchy'!$E$4</f>
        <v>Alt.1</v>
      </c>
      <c r="B625" s="169" t="s">
        <v>8</v>
      </c>
      <c r="C625" s="169" t="s">
        <v>7</v>
      </c>
      <c r="D625" s="169" t="s">
        <v>6</v>
      </c>
      <c r="E625" s="169" t="s">
        <v>5</v>
      </c>
      <c r="F625" s="169" t="s">
        <v>4</v>
      </c>
      <c r="G625" s="169" t="s">
        <v>3</v>
      </c>
      <c r="H625" s="169" t="s">
        <v>2</v>
      </c>
      <c r="I625" s="169" t="s">
        <v>1</v>
      </c>
      <c r="J625" s="169" t="s">
        <v>0</v>
      </c>
      <c r="K625" s="169" t="s">
        <v>1</v>
      </c>
      <c r="L625" s="169" t="s">
        <v>2</v>
      </c>
      <c r="M625" s="169" t="s">
        <v>3</v>
      </c>
      <c r="N625" s="169" t="s">
        <v>4</v>
      </c>
      <c r="O625" s="169" t="s">
        <v>5</v>
      </c>
      <c r="P625" s="169" t="s">
        <v>6</v>
      </c>
      <c r="Q625" s="169" t="s">
        <v>7</v>
      </c>
      <c r="R625" s="169" t="s">
        <v>8</v>
      </c>
      <c r="S625" s="170" t="str">
        <f>'6a-Hierarchy'!$F$4</f>
        <v>Alt.2</v>
      </c>
    </row>
    <row r="626" spans="1:19" ht="16.5" customHeight="1">
      <c r="A626" s="202"/>
      <c r="B626" s="46" t="s">
        <v>8</v>
      </c>
      <c r="C626" s="46" t="s">
        <v>7</v>
      </c>
      <c r="D626" s="46" t="s">
        <v>6</v>
      </c>
      <c r="E626" s="46" t="s">
        <v>5</v>
      </c>
      <c r="F626" s="46" t="s">
        <v>4</v>
      </c>
      <c r="G626" s="46" t="s">
        <v>3</v>
      </c>
      <c r="H626" s="46" t="s">
        <v>2</v>
      </c>
      <c r="I626" s="46" t="s">
        <v>1</v>
      </c>
      <c r="J626" s="46" t="s">
        <v>0</v>
      </c>
      <c r="K626" s="46" t="s">
        <v>1</v>
      </c>
      <c r="L626" s="46" t="s">
        <v>2</v>
      </c>
      <c r="M626" s="46" t="s">
        <v>3</v>
      </c>
      <c r="N626" s="46" t="s">
        <v>4</v>
      </c>
      <c r="O626" s="46" t="s">
        <v>5</v>
      </c>
      <c r="P626" s="46" t="s">
        <v>6</v>
      </c>
      <c r="Q626" s="46" t="s">
        <v>7</v>
      </c>
      <c r="R626" s="46" t="s">
        <v>8</v>
      </c>
      <c r="S626" s="203" t="str">
        <f>'6a-Hierarchy'!$G$4</f>
        <v>Alt.3</v>
      </c>
    </row>
    <row r="627" spans="1:19" ht="16.5" customHeight="1" thickBot="1">
      <c r="A627" s="205"/>
      <c r="B627" s="206" t="s">
        <v>8</v>
      </c>
      <c r="C627" s="206" t="s">
        <v>7</v>
      </c>
      <c r="D627" s="206" t="s">
        <v>6</v>
      </c>
      <c r="E627" s="206" t="s">
        <v>5</v>
      </c>
      <c r="F627" s="206" t="s">
        <v>4</v>
      </c>
      <c r="G627" s="206" t="s">
        <v>3</v>
      </c>
      <c r="H627" s="206" t="s">
        <v>2</v>
      </c>
      <c r="I627" s="206" t="s">
        <v>1</v>
      </c>
      <c r="J627" s="206" t="s">
        <v>0</v>
      </c>
      <c r="K627" s="206" t="s">
        <v>1</v>
      </c>
      <c r="L627" s="206" t="s">
        <v>2</v>
      </c>
      <c r="M627" s="206" t="s">
        <v>3</v>
      </c>
      <c r="N627" s="206" t="s">
        <v>4</v>
      </c>
      <c r="O627" s="206" t="s">
        <v>5</v>
      </c>
      <c r="P627" s="206" t="s">
        <v>6</v>
      </c>
      <c r="Q627" s="206" t="s">
        <v>7</v>
      </c>
      <c r="R627" s="206" t="s">
        <v>8</v>
      </c>
      <c r="S627" s="207" t="e">
        <f>'6a-Hierarchy'!#REF!</f>
        <v>#REF!</v>
      </c>
    </row>
    <row r="628" spans="1:19" ht="16.5" customHeight="1">
      <c r="A628" s="201" t="str">
        <f>'6a-Hierarchy'!$F$4</f>
        <v>Alt.2</v>
      </c>
      <c r="B628" s="169" t="s">
        <v>8</v>
      </c>
      <c r="C628" s="169" t="s">
        <v>7</v>
      </c>
      <c r="D628" s="169" t="s">
        <v>6</v>
      </c>
      <c r="E628" s="169" t="s">
        <v>5</v>
      </c>
      <c r="F628" s="169" t="s">
        <v>4</v>
      </c>
      <c r="G628" s="169" t="s">
        <v>3</v>
      </c>
      <c r="H628" s="169" t="s">
        <v>2</v>
      </c>
      <c r="I628" s="169" t="s">
        <v>1</v>
      </c>
      <c r="J628" s="169" t="s">
        <v>0</v>
      </c>
      <c r="K628" s="169" t="s">
        <v>1</v>
      </c>
      <c r="L628" s="169" t="s">
        <v>2</v>
      </c>
      <c r="M628" s="169" t="s">
        <v>3</v>
      </c>
      <c r="N628" s="169" t="s">
        <v>4</v>
      </c>
      <c r="O628" s="169" t="s">
        <v>5</v>
      </c>
      <c r="P628" s="169" t="s">
        <v>6</v>
      </c>
      <c r="Q628" s="169" t="s">
        <v>7</v>
      </c>
      <c r="R628" s="169" t="s">
        <v>8</v>
      </c>
      <c r="S628" s="170" t="str">
        <f>'6a-Hierarchy'!$G$4</f>
        <v>Alt.3</v>
      </c>
    </row>
    <row r="629" spans="1:19" ht="16.5" customHeight="1" thickBot="1">
      <c r="A629" s="205"/>
      <c r="B629" s="206" t="s">
        <v>8</v>
      </c>
      <c r="C629" s="206" t="s">
        <v>7</v>
      </c>
      <c r="D629" s="206" t="s">
        <v>6</v>
      </c>
      <c r="E629" s="206" t="s">
        <v>5</v>
      </c>
      <c r="F629" s="206" t="s">
        <v>4</v>
      </c>
      <c r="G629" s="206" t="s">
        <v>3</v>
      </c>
      <c r="H629" s="206" t="s">
        <v>2</v>
      </c>
      <c r="I629" s="206" t="s">
        <v>1</v>
      </c>
      <c r="J629" s="206" t="s">
        <v>0</v>
      </c>
      <c r="K629" s="206" t="s">
        <v>1</v>
      </c>
      <c r="L629" s="206" t="s">
        <v>2</v>
      </c>
      <c r="M629" s="206" t="s">
        <v>3</v>
      </c>
      <c r="N629" s="206" t="s">
        <v>4</v>
      </c>
      <c r="O629" s="206" t="s">
        <v>5</v>
      </c>
      <c r="P629" s="206" t="s">
        <v>6</v>
      </c>
      <c r="Q629" s="206" t="s">
        <v>7</v>
      </c>
      <c r="R629" s="206" t="s">
        <v>8</v>
      </c>
      <c r="S629" s="207" t="e">
        <f>'6a-Hierarchy'!#REF!</f>
        <v>#REF!</v>
      </c>
    </row>
    <row r="630" spans="1:19" ht="16.5" customHeight="1" thickBot="1">
      <c r="A630" s="213" t="str">
        <f>'6a-Hierarchy'!$G$4</f>
        <v>Alt.3</v>
      </c>
      <c r="B630" s="222" t="s">
        <v>8</v>
      </c>
      <c r="C630" s="222" t="s">
        <v>7</v>
      </c>
      <c r="D630" s="222" t="s">
        <v>6</v>
      </c>
      <c r="E630" s="222" t="s">
        <v>5</v>
      </c>
      <c r="F630" s="222" t="s">
        <v>4</v>
      </c>
      <c r="G630" s="222" t="s">
        <v>3</v>
      </c>
      <c r="H630" s="222" t="s">
        <v>2</v>
      </c>
      <c r="I630" s="222" t="s">
        <v>1</v>
      </c>
      <c r="J630" s="222" t="s">
        <v>0</v>
      </c>
      <c r="K630" s="222" t="s">
        <v>1</v>
      </c>
      <c r="L630" s="222" t="s">
        <v>2</v>
      </c>
      <c r="M630" s="222" t="s">
        <v>3</v>
      </c>
      <c r="N630" s="222" t="s">
        <v>4</v>
      </c>
      <c r="O630" s="222" t="s">
        <v>5</v>
      </c>
      <c r="P630" s="222" t="s">
        <v>6</v>
      </c>
      <c r="Q630" s="222" t="s">
        <v>7</v>
      </c>
      <c r="R630" s="222" t="s">
        <v>8</v>
      </c>
      <c r="S630" s="214" t="e">
        <f>'6a-Hierarchy'!#REF!</f>
        <v>#REF!</v>
      </c>
    </row>
    <row r="631" spans="1:19" ht="7.5" customHeight="1">
      <c r="A631" s="16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6"/>
    </row>
    <row r="632" spans="1:19" ht="18.75" hidden="1" customHeight="1" thickBot="1">
      <c r="A632" s="23"/>
      <c r="B632" s="24"/>
      <c r="C632" s="24"/>
      <c r="D632" s="24"/>
      <c r="E632" s="24"/>
      <c r="F632" s="24"/>
      <c r="G632" s="25"/>
      <c r="H632" s="25"/>
      <c r="I632" s="26">
        <f>'6a-Hierarchy'!C35</f>
        <v>0</v>
      </c>
      <c r="J632" s="25" t="s">
        <v>14</v>
      </c>
      <c r="K632" s="25" t="s">
        <v>16</v>
      </c>
      <c r="L632" s="25"/>
      <c r="M632" s="25"/>
      <c r="N632" s="24"/>
      <c r="O632" s="24"/>
      <c r="P632" s="24"/>
      <c r="Q632" s="24"/>
      <c r="R632" s="24"/>
      <c r="S632" s="27"/>
    </row>
    <row r="633" spans="1:19" ht="33.75" hidden="1" customHeight="1" thickBot="1">
      <c r="A633" s="18" t="s">
        <v>17</v>
      </c>
      <c r="B633" s="19" t="s">
        <v>9</v>
      </c>
      <c r="C633" s="20"/>
      <c r="D633" s="19" t="s">
        <v>10</v>
      </c>
      <c r="E633" s="20"/>
      <c r="F633" s="19" t="s">
        <v>11</v>
      </c>
      <c r="G633" s="20"/>
      <c r="H633" s="19" t="s">
        <v>12</v>
      </c>
      <c r="I633" s="20"/>
      <c r="J633" s="19" t="s">
        <v>13</v>
      </c>
      <c r="K633" s="20"/>
      <c r="L633" s="19" t="s">
        <v>12</v>
      </c>
      <c r="M633" s="20"/>
      <c r="N633" s="19" t="s">
        <v>11</v>
      </c>
      <c r="O633" s="20"/>
      <c r="P633" s="19" t="s">
        <v>10</v>
      </c>
      <c r="Q633" s="20"/>
      <c r="R633" s="19" t="s">
        <v>9</v>
      </c>
      <c r="S633" s="21" t="s">
        <v>17</v>
      </c>
    </row>
    <row r="634" spans="1:19" ht="17.100000000000001" hidden="1" customHeight="1">
      <c r="A634" s="8" t="str">
        <f>'6a-Hierarchy'!$E$4</f>
        <v>Alt.1</v>
      </c>
      <c r="B634" s="4" t="s">
        <v>8</v>
      </c>
      <c r="C634" s="4" t="s">
        <v>7</v>
      </c>
      <c r="D634" s="4" t="s">
        <v>6</v>
      </c>
      <c r="E634" s="4" t="s">
        <v>5</v>
      </c>
      <c r="F634" s="4" t="s">
        <v>4</v>
      </c>
      <c r="G634" s="4" t="s">
        <v>3</v>
      </c>
      <c r="H634" s="4" t="s">
        <v>2</v>
      </c>
      <c r="I634" s="4" t="s">
        <v>1</v>
      </c>
      <c r="J634" s="4" t="s">
        <v>0</v>
      </c>
      <c r="K634" s="4" t="s">
        <v>1</v>
      </c>
      <c r="L634" s="4" t="s">
        <v>2</v>
      </c>
      <c r="M634" s="4" t="s">
        <v>3</v>
      </c>
      <c r="N634" s="4" t="s">
        <v>4</v>
      </c>
      <c r="O634" s="4" t="s">
        <v>5</v>
      </c>
      <c r="P634" s="4" t="s">
        <v>6</v>
      </c>
      <c r="Q634" s="4" t="s">
        <v>7</v>
      </c>
      <c r="R634" s="4" t="s">
        <v>8</v>
      </c>
      <c r="S634" s="5" t="str">
        <f>'6a-Hierarchy'!$F$4</f>
        <v>Alt.2</v>
      </c>
    </row>
    <row r="635" spans="1:19" ht="16.5" hidden="1" customHeight="1">
      <c r="A635" s="9"/>
      <c r="B635" s="3" t="s">
        <v>8</v>
      </c>
      <c r="C635" s="3" t="s">
        <v>7</v>
      </c>
      <c r="D635" s="3" t="s">
        <v>6</v>
      </c>
      <c r="E635" s="3" t="s">
        <v>5</v>
      </c>
      <c r="F635" s="3" t="s">
        <v>4</v>
      </c>
      <c r="G635" s="3" t="s">
        <v>3</v>
      </c>
      <c r="H635" s="3" t="s">
        <v>2</v>
      </c>
      <c r="I635" s="3" t="s">
        <v>1</v>
      </c>
      <c r="J635" s="3" t="s">
        <v>0</v>
      </c>
      <c r="K635" s="3" t="s">
        <v>1</v>
      </c>
      <c r="L635" s="3" t="s">
        <v>2</v>
      </c>
      <c r="M635" s="3" t="s">
        <v>3</v>
      </c>
      <c r="N635" s="3" t="s">
        <v>4</v>
      </c>
      <c r="O635" s="3" t="s">
        <v>5</v>
      </c>
      <c r="P635" s="3" t="s">
        <v>6</v>
      </c>
      <c r="Q635" s="3" t="s">
        <v>7</v>
      </c>
      <c r="R635" s="3" t="s">
        <v>8</v>
      </c>
      <c r="S635" s="10" t="str">
        <f>'6a-Hierarchy'!$G$4</f>
        <v>Alt.3</v>
      </c>
    </row>
    <row r="636" spans="1:19" ht="16.5" hidden="1" customHeight="1">
      <c r="A636" s="9"/>
      <c r="B636" s="3" t="s">
        <v>8</v>
      </c>
      <c r="C636" s="3" t="s">
        <v>7</v>
      </c>
      <c r="D636" s="3" t="s">
        <v>6</v>
      </c>
      <c r="E636" s="3" t="s">
        <v>5</v>
      </c>
      <c r="F636" s="3" t="s">
        <v>4</v>
      </c>
      <c r="G636" s="3" t="s">
        <v>3</v>
      </c>
      <c r="H636" s="3" t="s">
        <v>2</v>
      </c>
      <c r="I636" s="3" t="s">
        <v>1</v>
      </c>
      <c r="J636" s="3" t="s">
        <v>0</v>
      </c>
      <c r="K636" s="3" t="s">
        <v>1</v>
      </c>
      <c r="L636" s="3" t="s">
        <v>2</v>
      </c>
      <c r="M636" s="3" t="s">
        <v>3</v>
      </c>
      <c r="N636" s="3" t="s">
        <v>4</v>
      </c>
      <c r="O636" s="3" t="s">
        <v>5</v>
      </c>
      <c r="P636" s="3" t="s">
        <v>6</v>
      </c>
      <c r="Q636" s="3" t="s">
        <v>7</v>
      </c>
      <c r="R636" s="3" t="s">
        <v>8</v>
      </c>
      <c r="S636" s="10" t="e">
        <f>'6a-Hierarchy'!#REF!</f>
        <v>#REF!</v>
      </c>
    </row>
    <row r="637" spans="1:19" ht="16.5" hidden="1" customHeight="1" thickBot="1">
      <c r="A637" s="11"/>
      <c r="B637" s="6" t="s">
        <v>8</v>
      </c>
      <c r="C637" s="6" t="s">
        <v>7</v>
      </c>
      <c r="D637" s="6" t="s">
        <v>6</v>
      </c>
      <c r="E637" s="6" t="s">
        <v>5</v>
      </c>
      <c r="F637" s="6" t="s">
        <v>4</v>
      </c>
      <c r="G637" s="6" t="s">
        <v>3</v>
      </c>
      <c r="H637" s="6" t="s">
        <v>2</v>
      </c>
      <c r="I637" s="6" t="s">
        <v>1</v>
      </c>
      <c r="J637" s="6" t="s">
        <v>0</v>
      </c>
      <c r="K637" s="6" t="s">
        <v>1</v>
      </c>
      <c r="L637" s="6" t="s">
        <v>2</v>
      </c>
      <c r="M637" s="6" t="s">
        <v>3</v>
      </c>
      <c r="N637" s="6" t="s">
        <v>4</v>
      </c>
      <c r="O637" s="6" t="s">
        <v>5</v>
      </c>
      <c r="P637" s="6" t="s">
        <v>6</v>
      </c>
      <c r="Q637" s="6" t="s">
        <v>7</v>
      </c>
      <c r="R637" s="6" t="s">
        <v>8</v>
      </c>
      <c r="S637" s="12">
        <f>'6a-Hierarchy'!$H$4</f>
        <v>0</v>
      </c>
    </row>
    <row r="638" spans="1:19" ht="16.5" hidden="1" customHeight="1">
      <c r="A638" s="8" t="str">
        <f>'6a-Hierarchy'!$F$4</f>
        <v>Alt.2</v>
      </c>
      <c r="B638" s="4" t="s">
        <v>8</v>
      </c>
      <c r="C638" s="4" t="s">
        <v>7</v>
      </c>
      <c r="D638" s="4" t="s">
        <v>6</v>
      </c>
      <c r="E638" s="4" t="s">
        <v>5</v>
      </c>
      <c r="F638" s="4" t="s">
        <v>4</v>
      </c>
      <c r="G638" s="4" t="s">
        <v>3</v>
      </c>
      <c r="H638" s="4" t="s">
        <v>2</v>
      </c>
      <c r="I638" s="4" t="s">
        <v>1</v>
      </c>
      <c r="J638" s="4" t="s">
        <v>0</v>
      </c>
      <c r="K638" s="4" t="s">
        <v>1</v>
      </c>
      <c r="L638" s="4" t="s">
        <v>2</v>
      </c>
      <c r="M638" s="4" t="s">
        <v>3</v>
      </c>
      <c r="N638" s="4" t="s">
        <v>4</v>
      </c>
      <c r="O638" s="4" t="s">
        <v>5</v>
      </c>
      <c r="P638" s="4" t="s">
        <v>6</v>
      </c>
      <c r="Q638" s="4" t="s">
        <v>7</v>
      </c>
      <c r="R638" s="4" t="s">
        <v>8</v>
      </c>
      <c r="S638" s="5" t="str">
        <f>'6a-Hierarchy'!$G$4</f>
        <v>Alt.3</v>
      </c>
    </row>
    <row r="639" spans="1:19" ht="16.5" hidden="1" customHeight="1">
      <c r="A639" s="9"/>
      <c r="B639" s="3" t="s">
        <v>8</v>
      </c>
      <c r="C639" s="3" t="s">
        <v>7</v>
      </c>
      <c r="D639" s="3" t="s">
        <v>6</v>
      </c>
      <c r="E639" s="3" t="s">
        <v>5</v>
      </c>
      <c r="F639" s="3" t="s">
        <v>4</v>
      </c>
      <c r="G639" s="3" t="s">
        <v>3</v>
      </c>
      <c r="H639" s="3" t="s">
        <v>2</v>
      </c>
      <c r="I639" s="3" t="s">
        <v>1</v>
      </c>
      <c r="J639" s="3" t="s">
        <v>0</v>
      </c>
      <c r="K639" s="3" t="s">
        <v>1</v>
      </c>
      <c r="L639" s="3" t="s">
        <v>2</v>
      </c>
      <c r="M639" s="3" t="s">
        <v>3</v>
      </c>
      <c r="N639" s="3" t="s">
        <v>4</v>
      </c>
      <c r="O639" s="3" t="s">
        <v>5</v>
      </c>
      <c r="P639" s="3" t="s">
        <v>6</v>
      </c>
      <c r="Q639" s="3" t="s">
        <v>7</v>
      </c>
      <c r="R639" s="3" t="s">
        <v>8</v>
      </c>
      <c r="S639" s="10" t="e">
        <f>'6a-Hierarchy'!#REF!</f>
        <v>#REF!</v>
      </c>
    </row>
    <row r="640" spans="1:19" ht="16.5" hidden="1" customHeight="1" thickBot="1">
      <c r="A640" s="11"/>
      <c r="B640" s="6" t="s">
        <v>8</v>
      </c>
      <c r="C640" s="6" t="s">
        <v>7</v>
      </c>
      <c r="D640" s="6" t="s">
        <v>6</v>
      </c>
      <c r="E640" s="6" t="s">
        <v>5</v>
      </c>
      <c r="F640" s="6" t="s">
        <v>4</v>
      </c>
      <c r="G640" s="6" t="s">
        <v>3</v>
      </c>
      <c r="H640" s="6" t="s">
        <v>2</v>
      </c>
      <c r="I640" s="6" t="s">
        <v>1</v>
      </c>
      <c r="J640" s="6" t="s">
        <v>0</v>
      </c>
      <c r="K640" s="6" t="s">
        <v>1</v>
      </c>
      <c r="L640" s="6" t="s">
        <v>2</v>
      </c>
      <c r="M640" s="6" t="s">
        <v>3</v>
      </c>
      <c r="N640" s="6" t="s">
        <v>4</v>
      </c>
      <c r="O640" s="6" t="s">
        <v>5</v>
      </c>
      <c r="P640" s="6" t="s">
        <v>6</v>
      </c>
      <c r="Q640" s="6" t="s">
        <v>7</v>
      </c>
      <c r="R640" s="6" t="s">
        <v>8</v>
      </c>
      <c r="S640" s="12">
        <f>'6a-Hierarchy'!$H$4</f>
        <v>0</v>
      </c>
    </row>
    <row r="641" spans="1:19" ht="16.5" hidden="1" customHeight="1">
      <c r="A641" s="8" t="str">
        <f>'6a-Hierarchy'!$G$4</f>
        <v>Alt.3</v>
      </c>
      <c r="B641" s="4" t="s">
        <v>8</v>
      </c>
      <c r="C641" s="4" t="s">
        <v>7</v>
      </c>
      <c r="D641" s="4" t="s">
        <v>6</v>
      </c>
      <c r="E641" s="4" t="s">
        <v>5</v>
      </c>
      <c r="F641" s="4" t="s">
        <v>4</v>
      </c>
      <c r="G641" s="4" t="s">
        <v>3</v>
      </c>
      <c r="H641" s="4" t="s">
        <v>2</v>
      </c>
      <c r="I641" s="4" t="s">
        <v>1</v>
      </c>
      <c r="J641" s="4" t="s">
        <v>0</v>
      </c>
      <c r="K641" s="4" t="s">
        <v>1</v>
      </c>
      <c r="L641" s="4" t="s">
        <v>2</v>
      </c>
      <c r="M641" s="4" t="s">
        <v>3</v>
      </c>
      <c r="N641" s="4" t="s">
        <v>4</v>
      </c>
      <c r="O641" s="4" t="s">
        <v>5</v>
      </c>
      <c r="P641" s="4" t="s">
        <v>6</v>
      </c>
      <c r="Q641" s="4" t="s">
        <v>7</v>
      </c>
      <c r="R641" s="4" t="s">
        <v>8</v>
      </c>
      <c r="S641" s="5" t="e">
        <f>'6a-Hierarchy'!#REF!</f>
        <v>#REF!</v>
      </c>
    </row>
    <row r="642" spans="1:19" ht="16.5" hidden="1" customHeight="1" thickBot="1">
      <c r="A642" s="11"/>
      <c r="B642" s="6" t="s">
        <v>8</v>
      </c>
      <c r="C642" s="6" t="s">
        <v>7</v>
      </c>
      <c r="D642" s="6" t="s">
        <v>6</v>
      </c>
      <c r="E642" s="6" t="s">
        <v>5</v>
      </c>
      <c r="F642" s="6" t="s">
        <v>4</v>
      </c>
      <c r="G642" s="6" t="s">
        <v>3</v>
      </c>
      <c r="H642" s="6" t="s">
        <v>2</v>
      </c>
      <c r="I642" s="6" t="s">
        <v>1</v>
      </c>
      <c r="J642" s="6" t="s">
        <v>0</v>
      </c>
      <c r="K642" s="6" t="s">
        <v>1</v>
      </c>
      <c r="L642" s="6" t="s">
        <v>2</v>
      </c>
      <c r="M642" s="6" t="s">
        <v>3</v>
      </c>
      <c r="N642" s="6" t="s">
        <v>4</v>
      </c>
      <c r="O642" s="6" t="s">
        <v>5</v>
      </c>
      <c r="P642" s="6" t="s">
        <v>6</v>
      </c>
      <c r="Q642" s="6" t="s">
        <v>7</v>
      </c>
      <c r="R642" s="6" t="s">
        <v>8</v>
      </c>
      <c r="S642" s="12">
        <f>'6a-Hierarchy'!$H$4</f>
        <v>0</v>
      </c>
    </row>
    <row r="643" spans="1:19" ht="16.5" hidden="1" customHeight="1" thickBot="1">
      <c r="A643" s="14" t="e">
        <f>'6a-Hierarchy'!#REF!</f>
        <v>#REF!</v>
      </c>
      <c r="B643" s="22" t="s">
        <v>8</v>
      </c>
      <c r="C643" s="22" t="s">
        <v>7</v>
      </c>
      <c r="D643" s="22" t="s">
        <v>6</v>
      </c>
      <c r="E643" s="22" t="s">
        <v>5</v>
      </c>
      <c r="F643" s="22" t="s">
        <v>4</v>
      </c>
      <c r="G643" s="22" t="s">
        <v>3</v>
      </c>
      <c r="H643" s="22" t="s">
        <v>2</v>
      </c>
      <c r="I643" s="22" t="s">
        <v>1</v>
      </c>
      <c r="J643" s="22" t="s">
        <v>0</v>
      </c>
      <c r="K643" s="22" t="s">
        <v>1</v>
      </c>
      <c r="L643" s="22" t="s">
        <v>2</v>
      </c>
      <c r="M643" s="22" t="s">
        <v>3</v>
      </c>
      <c r="N643" s="22" t="s">
        <v>4</v>
      </c>
      <c r="O643" s="22" t="s">
        <v>5</v>
      </c>
      <c r="P643" s="22" t="s">
        <v>6</v>
      </c>
      <c r="Q643" s="22" t="s">
        <v>7</v>
      </c>
      <c r="R643" s="22" t="s">
        <v>8</v>
      </c>
      <c r="S643" s="15">
        <f>'6a-Hierarchy'!$H$4</f>
        <v>0</v>
      </c>
    </row>
    <row r="644" spans="1:19" ht="7.5" hidden="1" customHeight="1" thickBot="1">
      <c r="A644" s="16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6"/>
    </row>
    <row r="645" spans="1:19" ht="18.75" hidden="1" customHeight="1" thickBot="1">
      <c r="A645" s="23"/>
      <c r="B645" s="24"/>
      <c r="C645" s="24"/>
      <c r="D645" s="24"/>
      <c r="E645" s="24"/>
      <c r="F645" s="24"/>
      <c r="G645" s="25"/>
      <c r="H645" s="25"/>
      <c r="I645" s="26">
        <f>'6a-Hierarchy'!C36</f>
        <v>0</v>
      </c>
      <c r="J645" s="25" t="s">
        <v>14</v>
      </c>
      <c r="K645" s="25" t="s">
        <v>16</v>
      </c>
      <c r="L645" s="25"/>
      <c r="M645" s="25"/>
      <c r="N645" s="24"/>
      <c r="O645" s="24"/>
      <c r="P645" s="24"/>
      <c r="Q645" s="24"/>
      <c r="R645" s="24"/>
      <c r="S645" s="27"/>
    </row>
    <row r="646" spans="1:19" ht="33.75" hidden="1" customHeight="1" thickBot="1">
      <c r="A646" s="18" t="s">
        <v>17</v>
      </c>
      <c r="B646" s="19" t="s">
        <v>9</v>
      </c>
      <c r="C646" s="20"/>
      <c r="D646" s="19" t="s">
        <v>10</v>
      </c>
      <c r="E646" s="20"/>
      <c r="F646" s="19" t="s">
        <v>11</v>
      </c>
      <c r="G646" s="20"/>
      <c r="H646" s="19" t="s">
        <v>12</v>
      </c>
      <c r="I646" s="20"/>
      <c r="J646" s="19" t="s">
        <v>13</v>
      </c>
      <c r="K646" s="20"/>
      <c r="L646" s="19" t="s">
        <v>12</v>
      </c>
      <c r="M646" s="20"/>
      <c r="N646" s="19" t="s">
        <v>11</v>
      </c>
      <c r="O646" s="20"/>
      <c r="P646" s="19" t="s">
        <v>10</v>
      </c>
      <c r="Q646" s="20"/>
      <c r="R646" s="19" t="s">
        <v>9</v>
      </c>
      <c r="S646" s="21" t="s">
        <v>17</v>
      </c>
    </row>
    <row r="647" spans="1:19" ht="17.100000000000001" hidden="1" customHeight="1">
      <c r="A647" s="8" t="str">
        <f>'6a-Hierarchy'!$E$4</f>
        <v>Alt.1</v>
      </c>
      <c r="B647" s="4" t="s">
        <v>8</v>
      </c>
      <c r="C647" s="4" t="s">
        <v>7</v>
      </c>
      <c r="D647" s="4" t="s">
        <v>6</v>
      </c>
      <c r="E647" s="4" t="s">
        <v>5</v>
      </c>
      <c r="F647" s="4" t="s">
        <v>4</v>
      </c>
      <c r="G647" s="4" t="s">
        <v>3</v>
      </c>
      <c r="H647" s="4" t="s">
        <v>2</v>
      </c>
      <c r="I647" s="4" t="s">
        <v>1</v>
      </c>
      <c r="J647" s="4" t="s">
        <v>0</v>
      </c>
      <c r="K647" s="4" t="s">
        <v>1</v>
      </c>
      <c r="L647" s="4" t="s">
        <v>2</v>
      </c>
      <c r="M647" s="4" t="s">
        <v>3</v>
      </c>
      <c r="N647" s="4" t="s">
        <v>4</v>
      </c>
      <c r="O647" s="4" t="s">
        <v>5</v>
      </c>
      <c r="P647" s="4" t="s">
        <v>6</v>
      </c>
      <c r="Q647" s="4" t="s">
        <v>7</v>
      </c>
      <c r="R647" s="4" t="s">
        <v>8</v>
      </c>
      <c r="S647" s="5" t="str">
        <f>'6a-Hierarchy'!$F$4</f>
        <v>Alt.2</v>
      </c>
    </row>
    <row r="648" spans="1:19" ht="16.5" hidden="1" customHeight="1">
      <c r="A648" s="9"/>
      <c r="B648" s="3" t="s">
        <v>8</v>
      </c>
      <c r="C648" s="3" t="s">
        <v>7</v>
      </c>
      <c r="D648" s="3" t="s">
        <v>6</v>
      </c>
      <c r="E648" s="3" t="s">
        <v>5</v>
      </c>
      <c r="F648" s="3" t="s">
        <v>4</v>
      </c>
      <c r="G648" s="3" t="s">
        <v>3</v>
      </c>
      <c r="H648" s="3" t="s">
        <v>2</v>
      </c>
      <c r="I648" s="3" t="s">
        <v>1</v>
      </c>
      <c r="J648" s="3" t="s">
        <v>0</v>
      </c>
      <c r="K648" s="3" t="s">
        <v>1</v>
      </c>
      <c r="L648" s="3" t="s">
        <v>2</v>
      </c>
      <c r="M648" s="3" t="s">
        <v>3</v>
      </c>
      <c r="N648" s="3" t="s">
        <v>4</v>
      </c>
      <c r="O648" s="3" t="s">
        <v>5</v>
      </c>
      <c r="P648" s="3" t="s">
        <v>6</v>
      </c>
      <c r="Q648" s="3" t="s">
        <v>7</v>
      </c>
      <c r="R648" s="3" t="s">
        <v>8</v>
      </c>
      <c r="S648" s="10" t="str">
        <f>'6a-Hierarchy'!$G$4</f>
        <v>Alt.3</v>
      </c>
    </row>
    <row r="649" spans="1:19" ht="16.5" hidden="1" customHeight="1">
      <c r="A649" s="9"/>
      <c r="B649" s="3" t="s">
        <v>8</v>
      </c>
      <c r="C649" s="3" t="s">
        <v>7</v>
      </c>
      <c r="D649" s="3" t="s">
        <v>6</v>
      </c>
      <c r="E649" s="3" t="s">
        <v>5</v>
      </c>
      <c r="F649" s="3" t="s">
        <v>4</v>
      </c>
      <c r="G649" s="3" t="s">
        <v>3</v>
      </c>
      <c r="H649" s="3" t="s">
        <v>2</v>
      </c>
      <c r="I649" s="3" t="s">
        <v>1</v>
      </c>
      <c r="J649" s="3" t="s">
        <v>0</v>
      </c>
      <c r="K649" s="3" t="s">
        <v>1</v>
      </c>
      <c r="L649" s="3" t="s">
        <v>2</v>
      </c>
      <c r="M649" s="3" t="s">
        <v>3</v>
      </c>
      <c r="N649" s="3" t="s">
        <v>4</v>
      </c>
      <c r="O649" s="3" t="s">
        <v>5</v>
      </c>
      <c r="P649" s="3" t="s">
        <v>6</v>
      </c>
      <c r="Q649" s="3" t="s">
        <v>7</v>
      </c>
      <c r="R649" s="3" t="s">
        <v>8</v>
      </c>
      <c r="S649" s="10" t="e">
        <f>'6a-Hierarchy'!#REF!</f>
        <v>#REF!</v>
      </c>
    </row>
    <row r="650" spans="1:19" ht="16.5" hidden="1" customHeight="1" thickBot="1">
      <c r="A650" s="11"/>
      <c r="B650" s="6" t="s">
        <v>8</v>
      </c>
      <c r="C650" s="6" t="s">
        <v>7</v>
      </c>
      <c r="D650" s="6" t="s">
        <v>6</v>
      </c>
      <c r="E650" s="6" t="s">
        <v>5</v>
      </c>
      <c r="F650" s="6" t="s">
        <v>4</v>
      </c>
      <c r="G650" s="6" t="s">
        <v>3</v>
      </c>
      <c r="H650" s="6" t="s">
        <v>2</v>
      </c>
      <c r="I650" s="6" t="s">
        <v>1</v>
      </c>
      <c r="J650" s="6" t="s">
        <v>0</v>
      </c>
      <c r="K650" s="6" t="s">
        <v>1</v>
      </c>
      <c r="L650" s="6" t="s">
        <v>2</v>
      </c>
      <c r="M650" s="6" t="s">
        <v>3</v>
      </c>
      <c r="N650" s="6" t="s">
        <v>4</v>
      </c>
      <c r="O650" s="6" t="s">
        <v>5</v>
      </c>
      <c r="P650" s="6" t="s">
        <v>6</v>
      </c>
      <c r="Q650" s="6" t="s">
        <v>7</v>
      </c>
      <c r="R650" s="6" t="s">
        <v>8</v>
      </c>
      <c r="S650" s="12">
        <f>'6a-Hierarchy'!$H$4</f>
        <v>0</v>
      </c>
    </row>
    <row r="651" spans="1:19" ht="16.5" hidden="1" customHeight="1">
      <c r="A651" s="8" t="str">
        <f>'6a-Hierarchy'!$F$4</f>
        <v>Alt.2</v>
      </c>
      <c r="B651" s="4" t="s">
        <v>8</v>
      </c>
      <c r="C651" s="4" t="s">
        <v>7</v>
      </c>
      <c r="D651" s="4" t="s">
        <v>6</v>
      </c>
      <c r="E651" s="4" t="s">
        <v>5</v>
      </c>
      <c r="F651" s="4" t="s">
        <v>4</v>
      </c>
      <c r="G651" s="4" t="s">
        <v>3</v>
      </c>
      <c r="H651" s="4" t="s">
        <v>2</v>
      </c>
      <c r="I651" s="4" t="s">
        <v>1</v>
      </c>
      <c r="J651" s="4" t="s">
        <v>0</v>
      </c>
      <c r="K651" s="4" t="s">
        <v>1</v>
      </c>
      <c r="L651" s="4" t="s">
        <v>2</v>
      </c>
      <c r="M651" s="4" t="s">
        <v>3</v>
      </c>
      <c r="N651" s="4" t="s">
        <v>4</v>
      </c>
      <c r="O651" s="4" t="s">
        <v>5</v>
      </c>
      <c r="P651" s="4" t="s">
        <v>6</v>
      </c>
      <c r="Q651" s="4" t="s">
        <v>7</v>
      </c>
      <c r="R651" s="4" t="s">
        <v>8</v>
      </c>
      <c r="S651" s="5" t="str">
        <f>'6a-Hierarchy'!$G$4</f>
        <v>Alt.3</v>
      </c>
    </row>
    <row r="652" spans="1:19" ht="16.5" hidden="1" customHeight="1">
      <c r="A652" s="9"/>
      <c r="B652" s="3" t="s">
        <v>8</v>
      </c>
      <c r="C652" s="3" t="s">
        <v>7</v>
      </c>
      <c r="D652" s="3" t="s">
        <v>6</v>
      </c>
      <c r="E652" s="3" t="s">
        <v>5</v>
      </c>
      <c r="F652" s="3" t="s">
        <v>4</v>
      </c>
      <c r="G652" s="3" t="s">
        <v>3</v>
      </c>
      <c r="H652" s="3" t="s">
        <v>2</v>
      </c>
      <c r="I652" s="3" t="s">
        <v>1</v>
      </c>
      <c r="J652" s="3" t="s">
        <v>0</v>
      </c>
      <c r="K652" s="3" t="s">
        <v>1</v>
      </c>
      <c r="L652" s="3" t="s">
        <v>2</v>
      </c>
      <c r="M652" s="3" t="s">
        <v>3</v>
      </c>
      <c r="N652" s="3" t="s">
        <v>4</v>
      </c>
      <c r="O652" s="3" t="s">
        <v>5</v>
      </c>
      <c r="P652" s="3" t="s">
        <v>6</v>
      </c>
      <c r="Q652" s="3" t="s">
        <v>7</v>
      </c>
      <c r="R652" s="3" t="s">
        <v>8</v>
      </c>
      <c r="S652" s="10" t="e">
        <f>'6a-Hierarchy'!#REF!</f>
        <v>#REF!</v>
      </c>
    </row>
    <row r="653" spans="1:19" ht="16.5" hidden="1" customHeight="1" thickBot="1">
      <c r="A653" s="11"/>
      <c r="B653" s="6" t="s">
        <v>8</v>
      </c>
      <c r="C653" s="6" t="s">
        <v>7</v>
      </c>
      <c r="D653" s="6" t="s">
        <v>6</v>
      </c>
      <c r="E653" s="6" t="s">
        <v>5</v>
      </c>
      <c r="F653" s="6" t="s">
        <v>4</v>
      </c>
      <c r="G653" s="6" t="s">
        <v>3</v>
      </c>
      <c r="H653" s="6" t="s">
        <v>2</v>
      </c>
      <c r="I653" s="6" t="s">
        <v>1</v>
      </c>
      <c r="J653" s="6" t="s">
        <v>0</v>
      </c>
      <c r="K653" s="6" t="s">
        <v>1</v>
      </c>
      <c r="L653" s="6" t="s">
        <v>2</v>
      </c>
      <c r="M653" s="6" t="s">
        <v>3</v>
      </c>
      <c r="N653" s="6" t="s">
        <v>4</v>
      </c>
      <c r="O653" s="6" t="s">
        <v>5</v>
      </c>
      <c r="P653" s="6" t="s">
        <v>6</v>
      </c>
      <c r="Q653" s="6" t="s">
        <v>7</v>
      </c>
      <c r="R653" s="6" t="s">
        <v>8</v>
      </c>
      <c r="S653" s="12">
        <f>'6a-Hierarchy'!$H$4</f>
        <v>0</v>
      </c>
    </row>
    <row r="654" spans="1:19" ht="16.5" hidden="1" customHeight="1">
      <c r="A654" s="8" t="str">
        <f>'6a-Hierarchy'!$G$4</f>
        <v>Alt.3</v>
      </c>
      <c r="B654" s="4" t="s">
        <v>8</v>
      </c>
      <c r="C654" s="4" t="s">
        <v>7</v>
      </c>
      <c r="D654" s="4" t="s">
        <v>6</v>
      </c>
      <c r="E654" s="4" t="s">
        <v>5</v>
      </c>
      <c r="F654" s="4" t="s">
        <v>4</v>
      </c>
      <c r="G654" s="4" t="s">
        <v>3</v>
      </c>
      <c r="H654" s="4" t="s">
        <v>2</v>
      </c>
      <c r="I654" s="4" t="s">
        <v>1</v>
      </c>
      <c r="J654" s="4" t="s">
        <v>0</v>
      </c>
      <c r="K654" s="4" t="s">
        <v>1</v>
      </c>
      <c r="L654" s="4" t="s">
        <v>2</v>
      </c>
      <c r="M654" s="4" t="s">
        <v>3</v>
      </c>
      <c r="N654" s="4" t="s">
        <v>4</v>
      </c>
      <c r="O654" s="4" t="s">
        <v>5</v>
      </c>
      <c r="P654" s="4" t="s">
        <v>6</v>
      </c>
      <c r="Q654" s="4" t="s">
        <v>7</v>
      </c>
      <c r="R654" s="4" t="s">
        <v>8</v>
      </c>
      <c r="S654" s="5" t="e">
        <f>'6a-Hierarchy'!#REF!</f>
        <v>#REF!</v>
      </c>
    </row>
    <row r="655" spans="1:19" ht="16.5" hidden="1" customHeight="1" thickBot="1">
      <c r="A655" s="11"/>
      <c r="B655" s="6" t="s">
        <v>8</v>
      </c>
      <c r="C655" s="6" t="s">
        <v>7</v>
      </c>
      <c r="D655" s="6" t="s">
        <v>6</v>
      </c>
      <c r="E655" s="6" t="s">
        <v>5</v>
      </c>
      <c r="F655" s="6" t="s">
        <v>4</v>
      </c>
      <c r="G655" s="6" t="s">
        <v>3</v>
      </c>
      <c r="H655" s="6" t="s">
        <v>2</v>
      </c>
      <c r="I655" s="6" t="s">
        <v>1</v>
      </c>
      <c r="J655" s="6" t="s">
        <v>0</v>
      </c>
      <c r="K655" s="6" t="s">
        <v>1</v>
      </c>
      <c r="L655" s="6" t="s">
        <v>2</v>
      </c>
      <c r="M655" s="6" t="s">
        <v>3</v>
      </c>
      <c r="N655" s="6" t="s">
        <v>4</v>
      </c>
      <c r="O655" s="6" t="s">
        <v>5</v>
      </c>
      <c r="P655" s="6" t="s">
        <v>6</v>
      </c>
      <c r="Q655" s="6" t="s">
        <v>7</v>
      </c>
      <c r="R655" s="6" t="s">
        <v>8</v>
      </c>
      <c r="S655" s="12">
        <f>'6a-Hierarchy'!$H$4</f>
        <v>0</v>
      </c>
    </row>
    <row r="656" spans="1:19" ht="16.5" hidden="1" customHeight="1" thickBot="1">
      <c r="A656" s="14" t="e">
        <f>'6a-Hierarchy'!#REF!</f>
        <v>#REF!</v>
      </c>
      <c r="B656" s="22" t="s">
        <v>8</v>
      </c>
      <c r="C656" s="22" t="s">
        <v>7</v>
      </c>
      <c r="D656" s="22" t="s">
        <v>6</v>
      </c>
      <c r="E656" s="22" t="s">
        <v>5</v>
      </c>
      <c r="F656" s="22" t="s">
        <v>4</v>
      </c>
      <c r="G656" s="22" t="s">
        <v>3</v>
      </c>
      <c r="H656" s="22" t="s">
        <v>2</v>
      </c>
      <c r="I656" s="22" t="s">
        <v>1</v>
      </c>
      <c r="J656" s="22" t="s">
        <v>0</v>
      </c>
      <c r="K656" s="22" t="s">
        <v>1</v>
      </c>
      <c r="L656" s="22" t="s">
        <v>2</v>
      </c>
      <c r="M656" s="22" t="s">
        <v>3</v>
      </c>
      <c r="N656" s="22" t="s">
        <v>4</v>
      </c>
      <c r="O656" s="22" t="s">
        <v>5</v>
      </c>
      <c r="P656" s="22" t="s">
        <v>6</v>
      </c>
      <c r="Q656" s="22" t="s">
        <v>7</v>
      </c>
      <c r="R656" s="22" t="s">
        <v>8</v>
      </c>
      <c r="S656" s="15">
        <f>'6a-Hierarchy'!$H$4</f>
        <v>0</v>
      </c>
    </row>
  </sheetData>
  <mergeCells count="1">
    <mergeCell ref="B2:R2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/>
  </sheetPr>
  <dimension ref="A1:Q97"/>
  <sheetViews>
    <sheetView view="pageBreakPreview" zoomScale="115" zoomScaleNormal="100" zoomScaleSheetLayoutView="115" workbookViewId="0">
      <selection activeCell="D3" sqref="D3"/>
    </sheetView>
  </sheetViews>
  <sheetFormatPr defaultRowHeight="13.5"/>
  <cols>
    <col min="1" max="1" width="10.77734375" style="377" customWidth="1"/>
    <col min="2" max="2" width="13.77734375" style="377" customWidth="1"/>
    <col min="3" max="3" width="44.109375" style="377" customWidth="1"/>
    <col min="4" max="4" width="5.44140625" style="377" customWidth="1"/>
    <col min="5" max="16384" width="8.88671875" style="377"/>
  </cols>
  <sheetData>
    <row r="1" spans="1:17" ht="30" customHeight="1">
      <c r="A1" s="729" t="s">
        <v>292</v>
      </c>
      <c r="B1" s="730"/>
      <c r="C1" s="730"/>
      <c r="D1" s="731"/>
    </row>
    <row r="2" spans="1:17" ht="20.100000000000001" customHeight="1">
      <c r="A2" s="489" t="str">
        <f>'1a-Performance'!A2</f>
        <v xml:space="preserve">VE Title : </v>
      </c>
      <c r="B2" s="723" t="str">
        <f>'1a-Performance'!B2</f>
        <v>포장두께</v>
      </c>
      <c r="C2" s="724"/>
      <c r="D2" s="725" t="s">
        <v>401</v>
      </c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1"/>
    </row>
    <row r="3" spans="1:17" ht="21" customHeight="1">
      <c r="A3" s="492" t="s">
        <v>22</v>
      </c>
      <c r="B3" s="493" t="s">
        <v>60</v>
      </c>
      <c r="C3" s="493" t="s">
        <v>61</v>
      </c>
      <c r="D3" s="494" t="s">
        <v>306</v>
      </c>
    </row>
    <row r="4" spans="1:17" ht="19.5" customHeight="1">
      <c r="A4" s="814" t="str">
        <f>'3a-Attribute Rating(A)'!B6</f>
        <v>시공성</v>
      </c>
      <c r="B4" s="495"/>
      <c r="C4" s="473"/>
      <c r="D4" s="496">
        <v>5</v>
      </c>
    </row>
    <row r="5" spans="1:17" ht="19.5" customHeight="1">
      <c r="A5" s="815"/>
      <c r="B5" s="497"/>
      <c r="C5" s="440"/>
      <c r="D5" s="498"/>
    </row>
    <row r="6" spans="1:17" ht="19.5" customHeight="1">
      <c r="A6" s="815"/>
      <c r="B6" s="497"/>
      <c r="C6" s="440"/>
      <c r="D6" s="498"/>
    </row>
    <row r="7" spans="1:17" ht="19.5" customHeight="1">
      <c r="A7" s="816"/>
      <c r="B7" s="497"/>
      <c r="C7" s="440"/>
      <c r="D7" s="498"/>
    </row>
    <row r="8" spans="1:17" ht="19.5" customHeight="1">
      <c r="A8" s="814" t="str">
        <f>'3a-Attribute Rating(A)'!B7</f>
        <v>유지관리성</v>
      </c>
      <c r="B8" s="497"/>
      <c r="C8" s="473"/>
      <c r="D8" s="498">
        <v>5</v>
      </c>
    </row>
    <row r="9" spans="1:17" ht="19.5" customHeight="1">
      <c r="A9" s="815"/>
      <c r="B9" s="497"/>
      <c r="C9" s="440"/>
      <c r="D9" s="498"/>
    </row>
    <row r="10" spans="1:17" ht="19.5" customHeight="1">
      <c r="A10" s="815"/>
      <c r="B10" s="497"/>
      <c r="C10" s="440"/>
      <c r="D10" s="498"/>
    </row>
    <row r="11" spans="1:17" ht="19.5" customHeight="1">
      <c r="A11" s="816"/>
      <c r="B11" s="497"/>
      <c r="C11" s="440"/>
      <c r="D11" s="498"/>
    </row>
    <row r="12" spans="1:17" ht="19.5" customHeight="1">
      <c r="A12" s="814" t="str">
        <f>'3a-Attribute Rating(A)'!B8</f>
        <v>내구성</v>
      </c>
      <c r="B12" s="497"/>
      <c r="C12" s="473"/>
      <c r="D12" s="498">
        <v>5</v>
      </c>
    </row>
    <row r="13" spans="1:17" ht="19.5" customHeight="1">
      <c r="A13" s="815"/>
      <c r="B13" s="497"/>
      <c r="C13" s="440"/>
      <c r="D13" s="498"/>
    </row>
    <row r="14" spans="1:17" ht="19.5" customHeight="1">
      <c r="A14" s="815"/>
      <c r="B14" s="497"/>
      <c r="C14" s="440"/>
      <c r="D14" s="498"/>
    </row>
    <row r="15" spans="1:17" ht="19.5" customHeight="1">
      <c r="A15" s="816"/>
      <c r="B15" s="497"/>
      <c r="C15" s="440"/>
      <c r="D15" s="498"/>
    </row>
    <row r="16" spans="1:17" ht="19.5" customHeight="1">
      <c r="A16" s="814" t="str">
        <f>'3a-Attribute Rating(A)'!B9</f>
        <v>이용편의성</v>
      </c>
      <c r="B16" s="497"/>
      <c r="C16" s="473"/>
      <c r="D16" s="498">
        <v>5</v>
      </c>
    </row>
    <row r="17" spans="1:4" ht="19.5" customHeight="1">
      <c r="A17" s="815"/>
      <c r="B17" s="497"/>
      <c r="C17" s="440"/>
      <c r="D17" s="498"/>
    </row>
    <row r="18" spans="1:4" ht="19.5" customHeight="1">
      <c r="A18" s="815"/>
      <c r="B18" s="497"/>
      <c r="C18" s="440"/>
      <c r="D18" s="498"/>
    </row>
    <row r="19" spans="1:4" ht="19.5" customHeight="1">
      <c r="A19" s="816"/>
      <c r="B19" s="497"/>
      <c r="C19" s="440"/>
      <c r="D19" s="498"/>
    </row>
    <row r="20" spans="1:4" ht="19.5" customHeight="1">
      <c r="A20" s="814" t="str">
        <f>'3a-Attribute Rating(A)'!B10</f>
        <v>친환경성</v>
      </c>
      <c r="B20" s="497"/>
      <c r="C20" s="473"/>
      <c r="D20" s="498">
        <v>5</v>
      </c>
    </row>
    <row r="21" spans="1:4" ht="19.5" customHeight="1">
      <c r="A21" s="815"/>
      <c r="B21" s="497"/>
      <c r="C21" s="440"/>
      <c r="D21" s="498"/>
    </row>
    <row r="22" spans="1:4" ht="19.5" customHeight="1">
      <c r="A22" s="815"/>
      <c r="B22" s="497"/>
      <c r="C22" s="440"/>
      <c r="D22" s="498"/>
    </row>
    <row r="23" spans="1:4" ht="19.5" customHeight="1">
      <c r="A23" s="816"/>
      <c r="B23" s="440"/>
      <c r="C23" s="440"/>
      <c r="D23" s="498"/>
    </row>
    <row r="24" spans="1:4" ht="19.5" customHeight="1">
      <c r="A24" s="814" t="str">
        <f>'3a-Attribute Rating(A)'!B11</f>
        <v>배수성</v>
      </c>
      <c r="B24" s="499"/>
      <c r="C24" s="473"/>
      <c r="D24" s="498">
        <v>5</v>
      </c>
    </row>
    <row r="25" spans="1:4" ht="19.5" customHeight="1">
      <c r="A25" s="815"/>
      <c r="B25" s="497"/>
      <c r="C25" s="440"/>
      <c r="D25" s="498"/>
    </row>
    <row r="26" spans="1:4" ht="19.5" customHeight="1">
      <c r="A26" s="815"/>
      <c r="B26" s="497"/>
      <c r="C26" s="440"/>
      <c r="D26" s="498"/>
    </row>
    <row r="27" spans="1:4" ht="19.5" customHeight="1">
      <c r="A27" s="816"/>
      <c r="B27" s="497"/>
      <c r="C27" s="440"/>
      <c r="D27" s="498"/>
    </row>
    <row r="28" spans="1:4" ht="19.5" customHeight="1">
      <c r="A28" s="814" t="str">
        <f>'3a-Attribute Rating(A)'!B12</f>
        <v>교통안전성</v>
      </c>
      <c r="B28" s="497"/>
      <c r="C28" s="440"/>
      <c r="D28" s="498">
        <v>5</v>
      </c>
    </row>
    <row r="29" spans="1:4" ht="19.5" customHeight="1">
      <c r="A29" s="815"/>
      <c r="B29" s="497"/>
      <c r="C29" s="440"/>
      <c r="D29" s="498"/>
    </row>
    <row r="30" spans="1:4" ht="19.5" customHeight="1">
      <c r="A30" s="815"/>
      <c r="B30" s="497"/>
      <c r="C30" s="440"/>
      <c r="D30" s="498"/>
    </row>
    <row r="31" spans="1:4" ht="19.5" customHeight="1">
      <c r="A31" s="816"/>
      <c r="B31" s="497"/>
      <c r="C31" s="440"/>
      <c r="D31" s="498"/>
    </row>
    <row r="32" spans="1:4" ht="19.5" customHeight="1">
      <c r="A32" s="814" t="str">
        <f>'3a-Attribute Rating(A)'!B13</f>
        <v>민원성</v>
      </c>
      <c r="B32" s="497"/>
      <c r="C32" s="440"/>
      <c r="D32" s="498">
        <v>5</v>
      </c>
    </row>
    <row r="33" spans="1:4" ht="19.5" customHeight="1">
      <c r="A33" s="815"/>
      <c r="B33" s="497"/>
      <c r="C33" s="440"/>
      <c r="D33" s="498"/>
    </row>
    <row r="34" spans="1:4" ht="19.5" customHeight="1">
      <c r="A34" s="815"/>
      <c r="B34" s="497"/>
      <c r="C34" s="440"/>
      <c r="D34" s="498"/>
    </row>
    <row r="35" spans="1:4" ht="19.5" customHeight="1" thickBot="1">
      <c r="A35" s="817"/>
      <c r="B35" s="500"/>
      <c r="C35" s="501"/>
      <c r="D35" s="502"/>
    </row>
    <row r="36" spans="1:4" ht="16.5" customHeight="1"/>
    <row r="37" spans="1:4" ht="16.5" customHeight="1"/>
    <row r="38" spans="1:4" ht="16.5" customHeight="1"/>
    <row r="39" spans="1:4" ht="16.5" customHeight="1"/>
    <row r="40" spans="1:4" ht="16.5" customHeight="1"/>
    <row r="41" spans="1:4" ht="16.5" customHeight="1"/>
    <row r="42" spans="1:4" ht="16.5" customHeight="1"/>
    <row r="43" spans="1:4" ht="16.5" customHeight="1"/>
    <row r="44" spans="1:4" ht="16.5" customHeight="1"/>
    <row r="45" spans="1:4" ht="16.5" customHeight="1"/>
    <row r="46" spans="1:4" ht="16.5" customHeight="1"/>
    <row r="47" spans="1:4" ht="16.5" customHeight="1"/>
    <row r="48" spans="1:4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</sheetData>
  <mergeCells count="9">
    <mergeCell ref="A24:A27"/>
    <mergeCell ref="A28:A31"/>
    <mergeCell ref="A32:A35"/>
    <mergeCell ref="A1:D1"/>
    <mergeCell ref="A4:A7"/>
    <mergeCell ref="A8:A11"/>
    <mergeCell ref="A12:A15"/>
    <mergeCell ref="A16:A19"/>
    <mergeCell ref="A20:A23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/>
  </sheetPr>
  <dimension ref="A1:D97"/>
  <sheetViews>
    <sheetView view="pageBreakPreview" zoomScale="115" zoomScaleNormal="100" zoomScaleSheetLayoutView="115" workbookViewId="0">
      <selection activeCell="D17" sqref="D17"/>
    </sheetView>
  </sheetViews>
  <sheetFormatPr defaultRowHeight="13.5"/>
  <cols>
    <col min="1" max="1" width="10.77734375" style="377" customWidth="1"/>
    <col min="2" max="2" width="13.77734375" style="377" customWidth="1"/>
    <col min="3" max="3" width="44.109375" style="377" customWidth="1"/>
    <col min="4" max="4" width="5.44140625" style="377" customWidth="1"/>
    <col min="5" max="16384" width="8.88671875" style="377"/>
  </cols>
  <sheetData>
    <row r="1" spans="1:4" ht="30" customHeight="1">
      <c r="A1" s="729" t="s">
        <v>111</v>
      </c>
      <c r="B1" s="730"/>
      <c r="C1" s="730"/>
      <c r="D1" s="731"/>
    </row>
    <row r="2" spans="1:4" ht="20.100000000000001" customHeight="1">
      <c r="A2" s="489" t="str">
        <f>'1a-Performance'!A2</f>
        <v xml:space="preserve">VE Title : </v>
      </c>
      <c r="B2" s="723" t="str">
        <f>'1a-Performance'!B2</f>
        <v>포장두께</v>
      </c>
      <c r="C2" s="724"/>
      <c r="D2" s="725" t="s">
        <v>402</v>
      </c>
    </row>
    <row r="3" spans="1:4" ht="21" customHeight="1">
      <c r="A3" s="492" t="s">
        <v>22</v>
      </c>
      <c r="B3" s="493" t="s">
        <v>60</v>
      </c>
      <c r="C3" s="493" t="s">
        <v>61</v>
      </c>
      <c r="D3" s="494" t="s">
        <v>62</v>
      </c>
    </row>
    <row r="4" spans="1:4" ht="19.5" customHeight="1">
      <c r="A4" s="814" t="str">
        <f>'3a-Attribute Rating(A)'!B6</f>
        <v>시공성</v>
      </c>
      <c r="B4" s="495"/>
      <c r="C4" s="473"/>
      <c r="D4" s="496">
        <v>4</v>
      </c>
    </row>
    <row r="5" spans="1:4" ht="19.5" customHeight="1">
      <c r="A5" s="818"/>
      <c r="B5" s="497"/>
      <c r="C5" s="440"/>
      <c r="D5" s="498"/>
    </row>
    <row r="6" spans="1:4" ht="19.5" customHeight="1">
      <c r="A6" s="818"/>
      <c r="B6" s="497"/>
      <c r="C6" s="440"/>
      <c r="D6" s="498"/>
    </row>
    <row r="7" spans="1:4" ht="19.5" customHeight="1">
      <c r="A7" s="819"/>
      <c r="B7" s="497"/>
      <c r="C7" s="440"/>
      <c r="D7" s="498"/>
    </row>
    <row r="8" spans="1:4" ht="19.5" customHeight="1">
      <c r="A8" s="814" t="str">
        <f>'3a-Attribute Rating(A)'!B7</f>
        <v>유지관리성</v>
      </c>
      <c r="B8" s="497"/>
      <c r="C8" s="473"/>
      <c r="D8" s="498">
        <v>6</v>
      </c>
    </row>
    <row r="9" spans="1:4" ht="19.5" customHeight="1">
      <c r="A9" s="818"/>
      <c r="B9" s="497"/>
      <c r="C9" s="440"/>
      <c r="D9" s="498"/>
    </row>
    <row r="10" spans="1:4" ht="19.5" customHeight="1">
      <c r="A10" s="818"/>
      <c r="B10" s="497"/>
      <c r="C10" s="440"/>
      <c r="D10" s="498"/>
    </row>
    <row r="11" spans="1:4" ht="19.5" customHeight="1">
      <c r="A11" s="819"/>
      <c r="B11" s="497"/>
      <c r="C11" s="440"/>
      <c r="D11" s="498"/>
    </row>
    <row r="12" spans="1:4" ht="19.5" customHeight="1">
      <c r="A12" s="814" t="str">
        <f>'3a-Attribute Rating(A)'!B8</f>
        <v>내구성</v>
      </c>
      <c r="B12" s="497"/>
      <c r="C12" s="473"/>
      <c r="D12" s="498">
        <v>10</v>
      </c>
    </row>
    <row r="13" spans="1:4" ht="19.5" customHeight="1">
      <c r="A13" s="818"/>
      <c r="B13" s="497"/>
      <c r="C13" s="440"/>
      <c r="D13" s="498"/>
    </row>
    <row r="14" spans="1:4" ht="19.5" customHeight="1">
      <c r="A14" s="818"/>
      <c r="B14" s="497"/>
      <c r="C14" s="440"/>
      <c r="D14" s="498"/>
    </row>
    <row r="15" spans="1:4" ht="19.5" customHeight="1">
      <c r="A15" s="819"/>
      <c r="B15" s="497"/>
      <c r="C15" s="440"/>
      <c r="D15" s="498"/>
    </row>
    <row r="16" spans="1:4" ht="19.5" customHeight="1">
      <c r="A16" s="814" t="str">
        <f>'3a-Attribute Rating(A)'!B9</f>
        <v>이용편의성</v>
      </c>
      <c r="B16" s="497"/>
      <c r="C16" s="473"/>
      <c r="D16" s="498">
        <v>5</v>
      </c>
    </row>
    <row r="17" spans="1:4" ht="19.5" customHeight="1">
      <c r="A17" s="818"/>
      <c r="B17" s="497"/>
      <c r="C17" s="440"/>
      <c r="D17" s="498"/>
    </row>
    <row r="18" spans="1:4" ht="19.5" customHeight="1">
      <c r="A18" s="818"/>
      <c r="B18" s="497"/>
      <c r="C18" s="440"/>
      <c r="D18" s="498"/>
    </row>
    <row r="19" spans="1:4" ht="19.5" customHeight="1">
      <c r="A19" s="819"/>
      <c r="B19" s="497"/>
      <c r="C19" s="440"/>
      <c r="D19" s="498"/>
    </row>
    <row r="20" spans="1:4" ht="19.5" customHeight="1">
      <c r="A20" s="814" t="str">
        <f>'3a-Attribute Rating(A)'!B10</f>
        <v>친환경성</v>
      </c>
      <c r="B20" s="497"/>
      <c r="C20" s="473"/>
      <c r="D20" s="498">
        <v>5</v>
      </c>
    </row>
    <row r="21" spans="1:4" ht="19.5" customHeight="1">
      <c r="A21" s="818"/>
      <c r="B21" s="497"/>
      <c r="C21" s="440"/>
      <c r="D21" s="498"/>
    </row>
    <row r="22" spans="1:4" ht="19.5" customHeight="1">
      <c r="A22" s="818"/>
      <c r="B22" s="497"/>
      <c r="C22" s="440"/>
      <c r="D22" s="498"/>
    </row>
    <row r="23" spans="1:4" ht="19.5" customHeight="1">
      <c r="A23" s="819"/>
      <c r="B23" s="440"/>
      <c r="C23" s="440"/>
      <c r="D23" s="498"/>
    </row>
    <row r="24" spans="1:4" ht="19.5" customHeight="1">
      <c r="A24" s="814" t="str">
        <f>'3a-Attribute Rating(A)'!B11</f>
        <v>배수성</v>
      </c>
      <c r="B24" s="499"/>
      <c r="C24" s="473"/>
      <c r="D24" s="498">
        <v>5</v>
      </c>
    </row>
    <row r="25" spans="1:4" ht="19.5" customHeight="1">
      <c r="A25" s="818"/>
      <c r="B25" s="497"/>
      <c r="C25" s="440"/>
      <c r="D25" s="498"/>
    </row>
    <row r="26" spans="1:4" ht="19.5" customHeight="1">
      <c r="A26" s="818"/>
      <c r="B26" s="497"/>
      <c r="C26" s="440"/>
      <c r="D26" s="498"/>
    </row>
    <row r="27" spans="1:4" ht="19.5" customHeight="1">
      <c r="A27" s="819"/>
      <c r="B27" s="497"/>
      <c r="C27" s="440"/>
      <c r="D27" s="498"/>
    </row>
    <row r="28" spans="1:4" ht="19.5" customHeight="1">
      <c r="A28" s="814" t="str">
        <f>'3a-Attribute Rating(A)'!B12</f>
        <v>교통안전성</v>
      </c>
      <c r="B28" s="497"/>
      <c r="C28" s="473"/>
      <c r="D28" s="498">
        <v>5</v>
      </c>
    </row>
    <row r="29" spans="1:4" ht="19.5" customHeight="1">
      <c r="A29" s="818"/>
      <c r="B29" s="497"/>
      <c r="C29" s="440"/>
      <c r="D29" s="498"/>
    </row>
    <row r="30" spans="1:4" ht="19.5" customHeight="1">
      <c r="A30" s="818"/>
      <c r="B30" s="497"/>
      <c r="C30" s="440"/>
      <c r="D30" s="498"/>
    </row>
    <row r="31" spans="1:4" ht="19.5" customHeight="1">
      <c r="A31" s="819"/>
      <c r="B31" s="497"/>
      <c r="C31" s="440"/>
      <c r="D31" s="498"/>
    </row>
    <row r="32" spans="1:4" ht="19.5" customHeight="1">
      <c r="A32" s="814" t="str">
        <f>'3a-Attribute Rating(A)'!B13</f>
        <v>민원성</v>
      </c>
      <c r="B32" s="497"/>
      <c r="C32" s="440"/>
      <c r="D32" s="498">
        <v>6</v>
      </c>
    </row>
    <row r="33" spans="1:4" ht="19.5" customHeight="1">
      <c r="A33" s="818"/>
      <c r="B33" s="497"/>
      <c r="C33" s="440"/>
      <c r="D33" s="498"/>
    </row>
    <row r="34" spans="1:4" ht="19.5" customHeight="1">
      <c r="A34" s="818"/>
      <c r="B34" s="497"/>
      <c r="C34" s="440"/>
      <c r="D34" s="498"/>
    </row>
    <row r="35" spans="1:4" ht="19.5" customHeight="1" thickBot="1">
      <c r="A35" s="820"/>
      <c r="B35" s="500"/>
      <c r="C35" s="501"/>
      <c r="D35" s="502"/>
    </row>
    <row r="36" spans="1:4" ht="16.5" customHeight="1"/>
    <row r="37" spans="1:4" ht="16.5" customHeight="1"/>
    <row r="38" spans="1:4" ht="16.5" customHeight="1"/>
    <row r="39" spans="1:4" ht="16.5" customHeight="1"/>
    <row r="40" spans="1:4" ht="16.5" customHeight="1"/>
    <row r="41" spans="1:4" ht="16.5" customHeight="1"/>
    <row r="42" spans="1:4" ht="16.5" customHeight="1"/>
    <row r="43" spans="1:4" ht="16.5" customHeight="1"/>
    <row r="44" spans="1:4" ht="16.5" customHeight="1"/>
    <row r="45" spans="1:4" ht="16.5" customHeight="1"/>
    <row r="46" spans="1:4" ht="16.5" customHeight="1"/>
    <row r="47" spans="1:4" ht="16.5" customHeight="1"/>
    <row r="48" spans="1:4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</sheetData>
  <mergeCells count="9">
    <mergeCell ref="A24:A27"/>
    <mergeCell ref="A28:A31"/>
    <mergeCell ref="A32:A35"/>
    <mergeCell ref="A1:D1"/>
    <mergeCell ref="A4:A7"/>
    <mergeCell ref="A8:A11"/>
    <mergeCell ref="A12:A15"/>
    <mergeCell ref="A16:A19"/>
    <mergeCell ref="A20:A23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97"/>
  <sheetViews>
    <sheetView view="pageBreakPreview" zoomScale="115" zoomScaleNormal="100" zoomScaleSheetLayoutView="115" workbookViewId="0">
      <selection activeCell="C12" sqref="C12"/>
    </sheetView>
  </sheetViews>
  <sheetFormatPr defaultRowHeight="12"/>
  <cols>
    <col min="1" max="1" width="10.77734375" style="1" customWidth="1"/>
    <col min="2" max="2" width="13.77734375" style="1" customWidth="1"/>
    <col min="3" max="3" width="44.109375" style="1" customWidth="1"/>
    <col min="4" max="4" width="5.44140625" style="1" customWidth="1"/>
    <col min="5" max="16384" width="8.88671875" style="1"/>
  </cols>
  <sheetData>
    <row r="1" spans="1:4" ht="30" customHeight="1">
      <c r="A1" s="749" t="s">
        <v>112</v>
      </c>
      <c r="B1" s="784"/>
      <c r="C1" s="784"/>
      <c r="D1" s="750"/>
    </row>
    <row r="2" spans="1:4" ht="20.100000000000001" customHeight="1">
      <c r="A2" s="240" t="str">
        <f>'1a-Performance'!A2</f>
        <v xml:space="preserve">VE Title : </v>
      </c>
      <c r="B2" s="239" t="str">
        <f>'1a-Performance'!B2</f>
        <v>포장두께</v>
      </c>
      <c r="C2" s="37"/>
      <c r="D2" s="382"/>
    </row>
    <row r="3" spans="1:4" ht="21" customHeight="1">
      <c r="A3" s="241" t="s">
        <v>22</v>
      </c>
      <c r="B3" s="242" t="s">
        <v>60</v>
      </c>
      <c r="C3" s="242" t="s">
        <v>61</v>
      </c>
      <c r="D3" s="243" t="s">
        <v>62</v>
      </c>
    </row>
    <row r="4" spans="1:4" ht="19.5" customHeight="1">
      <c r="A4" s="821" t="str">
        <f>'3a-Attribute Rating(A)'!B6</f>
        <v>시공성</v>
      </c>
      <c r="B4" s="41"/>
      <c r="C4" s="168" t="s">
        <v>305</v>
      </c>
      <c r="D4" s="42"/>
    </row>
    <row r="5" spans="1:4" ht="19.5" customHeight="1">
      <c r="A5" s="822"/>
      <c r="B5" s="43"/>
      <c r="C5" s="44"/>
      <c r="D5" s="45"/>
    </row>
    <row r="6" spans="1:4" ht="19.5" customHeight="1">
      <c r="A6" s="822"/>
      <c r="B6" s="43"/>
      <c r="C6" s="44"/>
      <c r="D6" s="45"/>
    </row>
    <row r="7" spans="1:4" ht="19.5" customHeight="1">
      <c r="A7" s="823"/>
      <c r="B7" s="43"/>
      <c r="C7" s="44"/>
      <c r="D7" s="45"/>
    </row>
    <row r="8" spans="1:4" ht="19.5" customHeight="1">
      <c r="A8" s="821" t="str">
        <f>'3a-Attribute Rating(A)'!B7</f>
        <v>유지관리성</v>
      </c>
      <c r="B8" s="43"/>
      <c r="C8" s="168" t="s">
        <v>305</v>
      </c>
      <c r="D8" s="45"/>
    </row>
    <row r="9" spans="1:4" ht="19.5" customHeight="1">
      <c r="A9" s="822"/>
      <c r="B9" s="43"/>
      <c r="C9" s="44"/>
      <c r="D9" s="45"/>
    </row>
    <row r="10" spans="1:4" ht="19.5" customHeight="1">
      <c r="A10" s="822"/>
      <c r="B10" s="43"/>
      <c r="C10" s="44"/>
      <c r="D10" s="45"/>
    </row>
    <row r="11" spans="1:4" ht="19.5" customHeight="1">
      <c r="A11" s="823"/>
      <c r="B11" s="43"/>
      <c r="C11" s="44"/>
      <c r="D11" s="45"/>
    </row>
    <row r="12" spans="1:4" ht="19.5" customHeight="1">
      <c r="A12" s="821" t="str">
        <f>'3a-Attribute Rating(A)'!B8</f>
        <v>내구성</v>
      </c>
      <c r="B12" s="43"/>
      <c r="C12" s="168" t="s">
        <v>305</v>
      </c>
      <c r="D12" s="45"/>
    </row>
    <row r="13" spans="1:4" ht="19.5" customHeight="1">
      <c r="A13" s="822"/>
      <c r="B13" s="43"/>
      <c r="C13" s="44"/>
      <c r="D13" s="45"/>
    </row>
    <row r="14" spans="1:4" ht="19.5" customHeight="1">
      <c r="A14" s="822"/>
      <c r="B14" s="43"/>
      <c r="C14" s="44"/>
      <c r="D14" s="45"/>
    </row>
    <row r="15" spans="1:4" ht="19.5" customHeight="1">
      <c r="A15" s="823"/>
      <c r="B15" s="43"/>
      <c r="C15" s="44"/>
      <c r="D15" s="45"/>
    </row>
    <row r="16" spans="1:4" ht="19.5" customHeight="1">
      <c r="A16" s="821" t="str">
        <f>'3a-Attribute Rating(A)'!B9</f>
        <v>이용편의성</v>
      </c>
      <c r="B16" s="43"/>
      <c r="C16" s="168" t="s">
        <v>305</v>
      </c>
      <c r="D16" s="45"/>
    </row>
    <row r="17" spans="1:4" ht="19.5" customHeight="1">
      <c r="A17" s="822"/>
      <c r="B17" s="43"/>
      <c r="C17" s="44"/>
      <c r="D17" s="45"/>
    </row>
    <row r="18" spans="1:4" ht="19.5" customHeight="1">
      <c r="A18" s="822"/>
      <c r="B18" s="43"/>
      <c r="C18" s="44"/>
      <c r="D18" s="45"/>
    </row>
    <row r="19" spans="1:4" ht="19.5" customHeight="1">
      <c r="A19" s="823"/>
      <c r="B19" s="43"/>
      <c r="C19" s="44"/>
      <c r="D19" s="45"/>
    </row>
    <row r="20" spans="1:4" ht="19.5" customHeight="1">
      <c r="A20" s="821" t="str">
        <f>'3a-Attribute Rating(A)'!B10</f>
        <v>친환경성</v>
      </c>
      <c r="B20" s="43"/>
      <c r="C20" s="168" t="s">
        <v>305</v>
      </c>
      <c r="D20" s="45"/>
    </row>
    <row r="21" spans="1:4" ht="19.5" customHeight="1">
      <c r="A21" s="822"/>
      <c r="B21" s="43"/>
      <c r="C21" s="44"/>
      <c r="D21" s="45"/>
    </row>
    <row r="22" spans="1:4" ht="19.5" customHeight="1">
      <c r="A22" s="822"/>
      <c r="B22" s="44"/>
      <c r="C22" s="44"/>
      <c r="D22" s="45"/>
    </row>
    <row r="23" spans="1:4" ht="19.5" customHeight="1">
      <c r="A23" s="823"/>
      <c r="B23" s="44"/>
      <c r="C23" s="44"/>
      <c r="D23" s="45"/>
    </row>
    <row r="24" spans="1:4" ht="19.5" customHeight="1">
      <c r="A24" s="821" t="str">
        <f>'3a-Attribute Rating(A)'!B11</f>
        <v>배수성</v>
      </c>
      <c r="B24" s="47"/>
      <c r="C24" s="168" t="s">
        <v>305</v>
      </c>
      <c r="D24" s="45"/>
    </row>
    <row r="25" spans="1:4" ht="19.5" customHeight="1">
      <c r="A25" s="822"/>
      <c r="B25" s="43"/>
      <c r="C25" s="44"/>
      <c r="D25" s="45"/>
    </row>
    <row r="26" spans="1:4" ht="19.5" customHeight="1">
      <c r="A26" s="822"/>
      <c r="B26" s="43"/>
      <c r="C26" s="44"/>
      <c r="D26" s="45"/>
    </row>
    <row r="27" spans="1:4" ht="19.5" customHeight="1">
      <c r="A27" s="823"/>
      <c r="B27" s="43"/>
      <c r="C27" s="44"/>
      <c r="D27" s="45"/>
    </row>
    <row r="28" spans="1:4" ht="19.5" customHeight="1">
      <c r="A28" s="821" t="str">
        <f>'3a-Attribute Rating(A)'!B12</f>
        <v>교통안전성</v>
      </c>
      <c r="B28" s="43"/>
      <c r="C28" s="54"/>
      <c r="D28" s="45"/>
    </row>
    <row r="29" spans="1:4" ht="19.5" customHeight="1">
      <c r="A29" s="822"/>
      <c r="B29" s="43"/>
      <c r="C29" s="44"/>
      <c r="D29" s="45"/>
    </row>
    <row r="30" spans="1:4" ht="19.5" customHeight="1">
      <c r="A30" s="822"/>
      <c r="B30" s="43"/>
      <c r="C30" s="44"/>
      <c r="D30" s="45"/>
    </row>
    <row r="31" spans="1:4" ht="19.5" customHeight="1">
      <c r="A31" s="823"/>
      <c r="B31" s="43"/>
      <c r="C31" s="44"/>
      <c r="D31" s="45"/>
    </row>
    <row r="32" spans="1:4" ht="19.5" customHeight="1">
      <c r="A32" s="821" t="str">
        <f>'3a-Attribute Rating(A)'!B13</f>
        <v>민원성</v>
      </c>
      <c r="B32" s="43"/>
      <c r="C32" s="44"/>
      <c r="D32" s="45"/>
    </row>
    <row r="33" spans="1:4" ht="19.5" customHeight="1">
      <c r="A33" s="822"/>
      <c r="B33" s="43"/>
      <c r="C33" s="44"/>
      <c r="D33" s="45"/>
    </row>
    <row r="34" spans="1:4" ht="19.5" customHeight="1">
      <c r="A34" s="822"/>
      <c r="B34" s="43"/>
      <c r="C34" s="44"/>
      <c r="D34" s="45"/>
    </row>
    <row r="35" spans="1:4" ht="19.5" customHeight="1" thickBot="1">
      <c r="A35" s="824"/>
      <c r="B35" s="48"/>
      <c r="C35" s="49"/>
      <c r="D35" s="50"/>
    </row>
    <row r="36" spans="1:4" ht="16.5" customHeight="1"/>
    <row r="37" spans="1:4" ht="16.5" customHeight="1"/>
    <row r="38" spans="1:4" ht="16.5" customHeight="1"/>
    <row r="39" spans="1:4" ht="16.5" customHeight="1"/>
    <row r="40" spans="1:4" ht="16.5" customHeight="1"/>
    <row r="41" spans="1:4" ht="16.5" customHeight="1"/>
    <row r="42" spans="1:4" ht="16.5" customHeight="1"/>
    <row r="43" spans="1:4" ht="16.5" customHeight="1"/>
    <row r="44" spans="1:4" ht="16.5" customHeight="1"/>
    <row r="45" spans="1:4" ht="16.5" customHeight="1"/>
    <row r="46" spans="1:4" ht="16.5" customHeight="1"/>
    <row r="47" spans="1:4" ht="16.5" customHeight="1"/>
    <row r="48" spans="1:4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</sheetData>
  <mergeCells count="9">
    <mergeCell ref="A24:A27"/>
    <mergeCell ref="A28:A31"/>
    <mergeCell ref="A32:A35"/>
    <mergeCell ref="A1:D1"/>
    <mergeCell ref="A4:A7"/>
    <mergeCell ref="A8:A11"/>
    <mergeCell ref="A12:A15"/>
    <mergeCell ref="A16:A19"/>
    <mergeCell ref="A20:A23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97"/>
  <sheetViews>
    <sheetView view="pageBreakPreview" zoomScale="115" zoomScaleNormal="100" zoomScaleSheetLayoutView="115" workbookViewId="0">
      <selection activeCell="C24" sqref="C24"/>
    </sheetView>
  </sheetViews>
  <sheetFormatPr defaultRowHeight="12"/>
  <cols>
    <col min="1" max="1" width="10.77734375" style="1" customWidth="1"/>
    <col min="2" max="2" width="13.77734375" style="1" customWidth="1"/>
    <col min="3" max="3" width="44.109375" style="1" customWidth="1"/>
    <col min="4" max="4" width="5.44140625" style="1" customWidth="1"/>
    <col min="5" max="16384" width="8.88671875" style="1"/>
  </cols>
  <sheetData>
    <row r="1" spans="1:4" ht="30" customHeight="1">
      <c r="A1" s="749" t="s">
        <v>113</v>
      </c>
      <c r="B1" s="784"/>
      <c r="C1" s="784"/>
      <c r="D1" s="750"/>
    </row>
    <row r="2" spans="1:4" ht="20.100000000000001" customHeight="1" thickBot="1">
      <c r="A2" s="125" t="str">
        <f>'1a-Performance'!A2</f>
        <v xml:space="preserve">VE Title : </v>
      </c>
      <c r="B2" s="360" t="str">
        <f>'1a-Performance'!B2</f>
        <v>포장두께</v>
      </c>
      <c r="C2" s="350"/>
      <c r="D2" s="356"/>
    </row>
    <row r="3" spans="1:4" ht="21" customHeight="1" thickBot="1">
      <c r="A3" s="38" t="s">
        <v>22</v>
      </c>
      <c r="B3" s="39" t="s">
        <v>60</v>
      </c>
      <c r="C3" s="39" t="s">
        <v>61</v>
      </c>
      <c r="D3" s="40" t="s">
        <v>62</v>
      </c>
    </row>
    <row r="4" spans="1:4" ht="19.5" customHeight="1">
      <c r="A4" s="825" t="str">
        <f>'3a-Attribute Rating(A)'!B6</f>
        <v>시공성</v>
      </c>
      <c r="B4" s="41"/>
      <c r="C4" s="168" t="s">
        <v>305</v>
      </c>
      <c r="D4" s="42"/>
    </row>
    <row r="5" spans="1:4" ht="19.5" customHeight="1">
      <c r="A5" s="822"/>
      <c r="B5" s="43"/>
      <c r="C5" s="44"/>
      <c r="D5" s="45"/>
    </row>
    <row r="6" spans="1:4" ht="19.5" customHeight="1">
      <c r="A6" s="822"/>
      <c r="B6" s="43"/>
      <c r="C6" s="44"/>
      <c r="D6" s="45"/>
    </row>
    <row r="7" spans="1:4" ht="19.5" customHeight="1">
      <c r="A7" s="823"/>
      <c r="B7" s="46"/>
      <c r="C7" s="44"/>
      <c r="D7" s="45"/>
    </row>
    <row r="8" spans="1:4" ht="19.5" customHeight="1">
      <c r="A8" s="821" t="str">
        <f>'3a-Attribute Rating(A)'!B7</f>
        <v>유지관리성</v>
      </c>
      <c r="B8" s="43"/>
      <c r="C8" s="168" t="s">
        <v>305</v>
      </c>
      <c r="D8" s="45"/>
    </row>
    <row r="9" spans="1:4" ht="19.5" customHeight="1">
      <c r="A9" s="822"/>
      <c r="B9" s="43"/>
      <c r="C9" s="44"/>
      <c r="D9" s="45"/>
    </row>
    <row r="10" spans="1:4" ht="19.5" customHeight="1">
      <c r="A10" s="822"/>
      <c r="B10" s="43"/>
      <c r="C10" s="44"/>
      <c r="D10" s="45"/>
    </row>
    <row r="11" spans="1:4" ht="19.5" customHeight="1">
      <c r="A11" s="823"/>
      <c r="B11" s="43"/>
      <c r="C11" s="44"/>
      <c r="D11" s="45"/>
    </row>
    <row r="12" spans="1:4" ht="19.5" customHeight="1">
      <c r="A12" s="821" t="str">
        <f>'3a-Attribute Rating(A)'!B8</f>
        <v>내구성</v>
      </c>
      <c r="B12" s="43"/>
      <c r="C12" s="168" t="s">
        <v>305</v>
      </c>
      <c r="D12" s="45"/>
    </row>
    <row r="13" spans="1:4" ht="19.5" customHeight="1">
      <c r="A13" s="822"/>
      <c r="B13" s="43"/>
      <c r="C13" s="44"/>
      <c r="D13" s="45"/>
    </row>
    <row r="14" spans="1:4" ht="19.5" customHeight="1">
      <c r="A14" s="822"/>
      <c r="B14" s="43"/>
      <c r="C14" s="44"/>
      <c r="D14" s="45"/>
    </row>
    <row r="15" spans="1:4" ht="19.5" customHeight="1">
      <c r="A15" s="823"/>
      <c r="B15" s="43"/>
      <c r="C15" s="44"/>
      <c r="D15" s="45"/>
    </row>
    <row r="16" spans="1:4" ht="19.5" customHeight="1">
      <c r="A16" s="821" t="str">
        <f>'3a-Attribute Rating(A)'!B9</f>
        <v>이용편의성</v>
      </c>
      <c r="B16" s="43"/>
      <c r="C16" s="168" t="s">
        <v>305</v>
      </c>
      <c r="D16" s="45"/>
    </row>
    <row r="17" spans="1:4" ht="19.5" customHeight="1">
      <c r="A17" s="822"/>
      <c r="B17" s="43"/>
      <c r="C17" s="44"/>
      <c r="D17" s="45"/>
    </row>
    <row r="18" spans="1:4" ht="19.5" customHeight="1">
      <c r="A18" s="822"/>
      <c r="B18" s="43"/>
      <c r="C18" s="44"/>
      <c r="D18" s="45"/>
    </row>
    <row r="19" spans="1:4" ht="19.5" customHeight="1">
      <c r="A19" s="823"/>
      <c r="B19" s="43"/>
      <c r="C19" s="44"/>
      <c r="D19" s="45"/>
    </row>
    <row r="20" spans="1:4" ht="19.5" customHeight="1">
      <c r="A20" s="821" t="str">
        <f>'3a-Attribute Rating(A)'!B10</f>
        <v>친환경성</v>
      </c>
      <c r="B20" s="43"/>
      <c r="C20" s="168" t="s">
        <v>305</v>
      </c>
      <c r="D20" s="45"/>
    </row>
    <row r="21" spans="1:4" ht="19.5" customHeight="1">
      <c r="A21" s="822"/>
      <c r="B21" s="43"/>
      <c r="C21" s="44"/>
      <c r="D21" s="45"/>
    </row>
    <row r="22" spans="1:4" ht="19.5" customHeight="1">
      <c r="A22" s="822"/>
      <c r="B22" s="44"/>
      <c r="C22" s="44"/>
      <c r="D22" s="45"/>
    </row>
    <row r="23" spans="1:4" ht="19.5" customHeight="1">
      <c r="A23" s="823"/>
      <c r="B23" s="44"/>
      <c r="C23" s="44"/>
      <c r="D23" s="45"/>
    </row>
    <row r="24" spans="1:4" ht="19.5" customHeight="1">
      <c r="A24" s="821" t="str">
        <f>'3a-Attribute Rating(A)'!B11</f>
        <v>배수성</v>
      </c>
      <c r="B24" s="47"/>
      <c r="C24" s="168" t="s">
        <v>305</v>
      </c>
      <c r="D24" s="45"/>
    </row>
    <row r="25" spans="1:4" ht="19.5" customHeight="1">
      <c r="A25" s="822"/>
      <c r="B25" s="43"/>
      <c r="C25" s="44"/>
      <c r="D25" s="45"/>
    </row>
    <row r="26" spans="1:4" ht="19.5" customHeight="1">
      <c r="A26" s="822"/>
      <c r="B26" s="43"/>
      <c r="C26" s="44"/>
      <c r="D26" s="45"/>
    </row>
    <row r="27" spans="1:4" ht="19.5" customHeight="1">
      <c r="A27" s="823"/>
      <c r="B27" s="43"/>
      <c r="C27" s="44"/>
      <c r="D27" s="45"/>
    </row>
    <row r="28" spans="1:4" ht="19.5" customHeight="1">
      <c r="A28" s="821" t="str">
        <f>'3a-Attribute Rating(A)'!B12</f>
        <v>교통안전성</v>
      </c>
      <c r="B28" s="43"/>
      <c r="C28" s="44"/>
      <c r="D28" s="45"/>
    </row>
    <row r="29" spans="1:4" ht="19.5" customHeight="1">
      <c r="A29" s="822"/>
      <c r="B29" s="43"/>
      <c r="C29" s="44"/>
      <c r="D29" s="45"/>
    </row>
    <row r="30" spans="1:4" ht="19.5" customHeight="1">
      <c r="A30" s="822"/>
      <c r="B30" s="43"/>
      <c r="C30" s="44"/>
      <c r="D30" s="45"/>
    </row>
    <row r="31" spans="1:4" ht="19.5" customHeight="1">
      <c r="A31" s="823"/>
      <c r="B31" s="43"/>
      <c r="C31" s="44"/>
      <c r="D31" s="45"/>
    </row>
    <row r="32" spans="1:4" ht="19.5" customHeight="1">
      <c r="A32" s="821" t="str">
        <f>'3a-Attribute Rating(A)'!B13</f>
        <v>민원성</v>
      </c>
      <c r="B32" s="43"/>
      <c r="C32" s="44"/>
      <c r="D32" s="45"/>
    </row>
    <row r="33" spans="1:4" ht="19.5" customHeight="1">
      <c r="A33" s="822"/>
      <c r="B33" s="43"/>
      <c r="C33" s="44"/>
      <c r="D33" s="45"/>
    </row>
    <row r="34" spans="1:4" ht="19.5" customHeight="1">
      <c r="A34" s="822"/>
      <c r="B34" s="43"/>
      <c r="C34" s="44"/>
      <c r="D34" s="45"/>
    </row>
    <row r="35" spans="1:4" ht="19.5" customHeight="1" thickBot="1">
      <c r="A35" s="824"/>
      <c r="B35" s="48"/>
      <c r="C35" s="49"/>
      <c r="D35" s="50"/>
    </row>
    <row r="36" spans="1:4" ht="16.5" customHeight="1"/>
    <row r="37" spans="1:4" ht="16.5" customHeight="1"/>
    <row r="38" spans="1:4" ht="16.5" customHeight="1"/>
    <row r="39" spans="1:4" ht="16.5" customHeight="1"/>
    <row r="40" spans="1:4" ht="16.5" customHeight="1"/>
    <row r="41" spans="1:4" ht="16.5" customHeight="1"/>
    <row r="42" spans="1:4" ht="16.5" customHeight="1"/>
    <row r="43" spans="1:4" ht="16.5" customHeight="1"/>
    <row r="44" spans="1:4" ht="16.5" customHeight="1"/>
    <row r="45" spans="1:4" ht="16.5" customHeight="1"/>
    <row r="46" spans="1:4" ht="16.5" customHeight="1"/>
    <row r="47" spans="1:4" ht="16.5" customHeight="1"/>
    <row r="48" spans="1:4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</sheetData>
  <mergeCells count="9">
    <mergeCell ref="A24:A27"/>
    <mergeCell ref="A28:A31"/>
    <mergeCell ref="A32:A35"/>
    <mergeCell ref="A1:D1"/>
    <mergeCell ref="A4:A7"/>
    <mergeCell ref="A8:A11"/>
    <mergeCell ref="A12:A15"/>
    <mergeCell ref="A16:A19"/>
    <mergeCell ref="A20:A23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/>
  </sheetPr>
  <dimension ref="A1:R98"/>
  <sheetViews>
    <sheetView view="pageBreakPreview" zoomScale="115" zoomScaleNormal="100" zoomScaleSheetLayoutView="115" workbookViewId="0">
      <selection activeCell="H10" sqref="H10"/>
    </sheetView>
  </sheetViews>
  <sheetFormatPr defaultRowHeight="15.75"/>
  <cols>
    <col min="1" max="1" width="23.77734375" style="389" customWidth="1"/>
    <col min="2" max="2" width="3.77734375" style="552" customWidth="1"/>
    <col min="3" max="3" width="6.77734375" style="552" customWidth="1"/>
    <col min="4" max="4" width="7.77734375" style="552" customWidth="1"/>
    <col min="5" max="5" width="8.77734375" style="560" customWidth="1"/>
    <col min="6" max="6" width="6.77734375" style="389" customWidth="1"/>
    <col min="7" max="7" width="7.77734375" style="389" customWidth="1"/>
    <col min="8" max="8" width="8.77734375" style="552" customWidth="1"/>
    <col min="9" max="9" width="2.6640625" style="389" customWidth="1"/>
    <col min="10" max="10" width="15.5546875" style="377" customWidth="1"/>
    <col min="11" max="17" width="9" style="389" customWidth="1"/>
    <col min="18" max="16384" width="8.88671875" style="389"/>
  </cols>
  <sheetData>
    <row r="1" spans="1:18" s="503" customFormat="1" ht="30" customHeight="1">
      <c r="A1" s="729" t="s">
        <v>74</v>
      </c>
      <c r="B1" s="730"/>
      <c r="C1" s="730"/>
      <c r="D1" s="730"/>
      <c r="E1" s="730"/>
      <c r="F1" s="730"/>
      <c r="G1" s="730"/>
      <c r="H1" s="731"/>
      <c r="I1" s="377"/>
    </row>
    <row r="2" spans="1:18" ht="20.100000000000001" customHeight="1">
      <c r="A2" s="489" t="str">
        <f>'1a-Performance'!A2</f>
        <v xml:space="preserve">VE Title : </v>
      </c>
      <c r="B2" s="723" t="str">
        <f>'1a-Performance'!B2</f>
        <v>포장두께</v>
      </c>
      <c r="C2" s="504"/>
      <c r="D2" s="504"/>
      <c r="E2" s="504"/>
      <c r="F2" s="504"/>
      <c r="G2" s="505"/>
      <c r="H2" s="506"/>
      <c r="I2" s="377"/>
      <c r="J2" s="389"/>
    </row>
    <row r="3" spans="1:18" ht="23.1" customHeight="1">
      <c r="A3" s="826" t="s">
        <v>75</v>
      </c>
      <c r="B3" s="829"/>
      <c r="C3" s="831" t="s">
        <v>338</v>
      </c>
      <c r="D3" s="832"/>
      <c r="E3" s="833"/>
      <c r="F3" s="834" t="s">
        <v>228</v>
      </c>
      <c r="G3" s="835"/>
      <c r="H3" s="836"/>
      <c r="I3" s="377"/>
      <c r="J3" s="408"/>
      <c r="K3" s="408"/>
      <c r="L3" s="408"/>
      <c r="M3" s="408"/>
      <c r="N3" s="408"/>
      <c r="O3" s="408"/>
      <c r="P3" s="408"/>
      <c r="Q3" s="408"/>
      <c r="R3" s="408"/>
    </row>
    <row r="4" spans="1:18" s="508" customFormat="1" ht="23.1" customHeight="1">
      <c r="A4" s="827"/>
      <c r="B4" s="830"/>
      <c r="C4" s="837" t="str">
        <f>'4a-Rating Rationale (1)'!D2</f>
        <v>비교1안(PCC Slab 46cm)</v>
      </c>
      <c r="D4" s="838"/>
      <c r="E4" s="839"/>
      <c r="F4" s="837" t="str">
        <f>'4b-Rating Rationale (2)'!D2</f>
        <v>비교2안(PCC Slab 50cm)</v>
      </c>
      <c r="G4" s="838"/>
      <c r="H4" s="840"/>
      <c r="I4" s="377"/>
      <c r="J4" s="408"/>
      <c r="K4" s="507"/>
      <c r="L4" s="507"/>
      <c r="M4" s="507"/>
      <c r="N4" s="507"/>
      <c r="O4" s="507"/>
      <c r="P4" s="507"/>
      <c r="Q4" s="507"/>
      <c r="R4" s="507"/>
    </row>
    <row r="5" spans="1:18" s="508" customFormat="1" ht="20.100000000000001" customHeight="1">
      <c r="A5" s="402" t="s">
        <v>76</v>
      </c>
      <c r="B5" s="509" t="s">
        <v>77</v>
      </c>
      <c r="C5" s="510" t="s">
        <v>78</v>
      </c>
      <c r="D5" s="511" t="s">
        <v>229</v>
      </c>
      <c r="E5" s="512" t="s">
        <v>79</v>
      </c>
      <c r="F5" s="513" t="s">
        <v>78</v>
      </c>
      <c r="G5" s="511" t="s">
        <v>229</v>
      </c>
      <c r="H5" s="514" t="s">
        <v>79</v>
      </c>
      <c r="J5" s="507"/>
      <c r="K5" s="507"/>
      <c r="L5" s="507"/>
      <c r="M5" s="507"/>
      <c r="N5" s="507"/>
      <c r="O5" s="507"/>
      <c r="P5" s="507"/>
      <c r="Q5" s="507"/>
      <c r="R5" s="507"/>
    </row>
    <row r="6" spans="1:18" s="408" customFormat="1" ht="18" customHeight="1">
      <c r="A6" s="515" t="s">
        <v>230</v>
      </c>
      <c r="B6" s="441"/>
      <c r="C6" s="516"/>
      <c r="D6" s="517"/>
      <c r="E6" s="518"/>
      <c r="F6" s="516"/>
      <c r="G6" s="517"/>
      <c r="H6" s="519"/>
      <c r="J6" s="520"/>
      <c r="K6" s="521"/>
      <c r="L6" s="522"/>
      <c r="M6" s="522"/>
      <c r="N6" s="522"/>
      <c r="O6" s="522"/>
      <c r="P6" s="522"/>
      <c r="Q6" s="522"/>
    </row>
    <row r="7" spans="1:18" s="408" customFormat="1" ht="18" customHeight="1">
      <c r="A7" s="515" t="s">
        <v>372</v>
      </c>
      <c r="B7" s="441" t="s">
        <v>232</v>
      </c>
      <c r="C7" s="523">
        <v>1</v>
      </c>
      <c r="D7" s="518">
        <f>1432.8/1.24</f>
        <v>1155.483870967742</v>
      </c>
      <c r="E7" s="518">
        <f t="shared" ref="E7:E12" si="0">ROUND(C7*D7,2)</f>
        <v>1155.48</v>
      </c>
      <c r="F7" s="516"/>
      <c r="G7" s="517"/>
      <c r="H7" s="519"/>
      <c r="J7" s="520"/>
      <c r="K7" s="521"/>
      <c r="L7" s="522"/>
      <c r="M7" s="522"/>
      <c r="N7" s="522"/>
      <c r="O7" s="522"/>
      <c r="P7" s="522"/>
      <c r="Q7" s="522"/>
    </row>
    <row r="8" spans="1:18" s="408" customFormat="1" ht="18" customHeight="1">
      <c r="A8" s="515" t="s">
        <v>339</v>
      </c>
      <c r="B8" s="441" t="s">
        <v>318</v>
      </c>
      <c r="C8" s="523">
        <v>1</v>
      </c>
      <c r="D8" s="524">
        <f>D7*0.14</f>
        <v>161.76774193548388</v>
      </c>
      <c r="E8" s="518">
        <f t="shared" si="0"/>
        <v>161.77000000000001</v>
      </c>
      <c r="F8" s="516"/>
      <c r="G8" s="525"/>
      <c r="H8" s="519"/>
      <c r="J8" s="364"/>
      <c r="K8" s="377"/>
      <c r="L8" s="526"/>
      <c r="M8" s="526"/>
      <c r="N8" s="526"/>
      <c r="O8" s="526"/>
      <c r="P8" s="526"/>
      <c r="Q8" s="526"/>
    </row>
    <row r="9" spans="1:18" s="408" customFormat="1" ht="18" customHeight="1">
      <c r="A9" s="515" t="s">
        <v>340</v>
      </c>
      <c r="B9" s="441" t="s">
        <v>318</v>
      </c>
      <c r="C9" s="523">
        <v>1</v>
      </c>
      <c r="D9" s="524">
        <f>D7*0.1</f>
        <v>115.54838709677421</v>
      </c>
      <c r="E9" s="518">
        <f t="shared" si="0"/>
        <v>115.55</v>
      </c>
      <c r="F9" s="516"/>
      <c r="G9" s="525"/>
      <c r="H9" s="519"/>
      <c r="J9" s="375"/>
      <c r="K9" s="376"/>
      <c r="L9" s="527"/>
      <c r="M9" s="527"/>
      <c r="N9" s="522"/>
      <c r="O9" s="522"/>
      <c r="P9" s="522"/>
      <c r="Q9" s="522"/>
    </row>
    <row r="10" spans="1:18" s="408" customFormat="1" ht="18" customHeight="1">
      <c r="A10" s="515" t="s">
        <v>341</v>
      </c>
      <c r="B10" s="441" t="s">
        <v>293</v>
      </c>
      <c r="C10" s="523">
        <v>1</v>
      </c>
      <c r="D10" s="524">
        <f>SUM(D7:D9)*0.03</f>
        <v>42.983999999999995</v>
      </c>
      <c r="E10" s="518">
        <f t="shared" si="0"/>
        <v>42.98</v>
      </c>
      <c r="F10" s="516"/>
      <c r="G10" s="525"/>
      <c r="H10" s="519"/>
      <c r="J10" s="375"/>
      <c r="K10" s="376"/>
      <c r="L10" s="376"/>
      <c r="M10" s="376"/>
      <c r="N10" s="522"/>
      <c r="O10" s="522"/>
      <c r="P10" s="522"/>
      <c r="Q10" s="522"/>
    </row>
    <row r="11" spans="1:18" s="408" customFormat="1" ht="18" customHeight="1">
      <c r="A11" s="515" t="s">
        <v>342</v>
      </c>
      <c r="B11" s="441" t="s">
        <v>293</v>
      </c>
      <c r="C11" s="523">
        <v>1</v>
      </c>
      <c r="D11" s="524">
        <f>SUM(D7:D9)*0.01</f>
        <v>14.327999999999999</v>
      </c>
      <c r="E11" s="518">
        <f t="shared" si="0"/>
        <v>14.33</v>
      </c>
      <c r="F11" s="516"/>
      <c r="G11" s="525"/>
      <c r="H11" s="519"/>
      <c r="J11" s="375"/>
      <c r="K11" s="376"/>
      <c r="L11" s="376"/>
      <c r="M11" s="376"/>
    </row>
    <row r="12" spans="1:18" s="408" customFormat="1" ht="18" customHeight="1">
      <c r="A12" s="515" t="s">
        <v>343</v>
      </c>
      <c r="B12" s="441" t="s">
        <v>232</v>
      </c>
      <c r="C12" s="523">
        <v>1</v>
      </c>
      <c r="D12" s="525"/>
      <c r="E12" s="518">
        <f t="shared" si="0"/>
        <v>0</v>
      </c>
      <c r="F12" s="516"/>
      <c r="G12" s="525"/>
      <c r="H12" s="519"/>
      <c r="J12" s="378"/>
      <c r="K12" s="379"/>
    </row>
    <row r="13" spans="1:18" s="408" customFormat="1" ht="18" customHeight="1">
      <c r="A13" s="515"/>
      <c r="B13" s="441"/>
      <c r="C13" s="523"/>
      <c r="D13" s="525"/>
      <c r="E13" s="518"/>
      <c r="F13" s="523"/>
      <c r="G13" s="528"/>
      <c r="H13" s="529"/>
      <c r="J13" s="380"/>
      <c r="K13" s="379"/>
      <c r="L13" s="526"/>
      <c r="M13" s="526"/>
      <c r="N13" s="526"/>
      <c r="O13" s="526"/>
      <c r="P13" s="526"/>
      <c r="Q13" s="526"/>
    </row>
    <row r="14" spans="1:18" s="408" customFormat="1" ht="18" customHeight="1">
      <c r="A14" s="515"/>
      <c r="B14" s="441"/>
      <c r="C14" s="523"/>
      <c r="D14" s="525"/>
      <c r="E14" s="518"/>
      <c r="F14" s="516"/>
      <c r="G14" s="525"/>
      <c r="H14" s="519"/>
      <c r="I14" s="377"/>
      <c r="K14" s="381"/>
      <c r="N14" s="526"/>
      <c r="O14" s="526"/>
      <c r="P14" s="526"/>
      <c r="Q14" s="526"/>
    </row>
    <row r="15" spans="1:18" s="408" customFormat="1" ht="18" customHeight="1">
      <c r="A15" s="515"/>
      <c r="B15" s="441"/>
      <c r="C15" s="523"/>
      <c r="D15" s="525"/>
      <c r="E15" s="518"/>
      <c r="F15" s="516"/>
      <c r="G15" s="525"/>
      <c r="H15" s="519"/>
      <c r="I15" s="377"/>
      <c r="J15" s="384"/>
      <c r="K15" s="385"/>
    </row>
    <row r="16" spans="1:18" s="408" customFormat="1" ht="18" customHeight="1">
      <c r="A16" s="515"/>
      <c r="B16" s="441"/>
      <c r="C16" s="523"/>
      <c r="D16" s="525"/>
      <c r="E16" s="518"/>
      <c r="F16" s="516"/>
      <c r="G16" s="525"/>
      <c r="H16" s="519"/>
      <c r="I16" s="377"/>
      <c r="J16" s="384"/>
      <c r="K16" s="384"/>
    </row>
    <row r="17" spans="1:17" s="408" customFormat="1" ht="18" customHeight="1">
      <c r="A17" s="515"/>
      <c r="B17" s="441"/>
      <c r="C17" s="523"/>
      <c r="D17" s="525"/>
      <c r="E17" s="518"/>
      <c r="F17" s="516"/>
      <c r="G17" s="525"/>
      <c r="H17" s="519"/>
      <c r="I17" s="377"/>
      <c r="J17" s="385"/>
      <c r="K17" s="385"/>
      <c r="M17" s="530"/>
    </row>
    <row r="18" spans="1:17" s="408" customFormat="1" ht="18" customHeight="1">
      <c r="A18" s="515"/>
      <c r="B18" s="441"/>
      <c r="C18" s="523"/>
      <c r="D18" s="525"/>
      <c r="E18" s="518"/>
      <c r="F18" s="523"/>
      <c r="G18" s="528"/>
      <c r="H18" s="529"/>
      <c r="I18" s="377"/>
      <c r="J18" s="383"/>
      <c r="K18" s="383"/>
      <c r="L18" s="385"/>
      <c r="M18" s="531"/>
      <c r="N18" s="531"/>
      <c r="O18" s="531"/>
      <c r="P18" s="531"/>
      <c r="Q18" s="531"/>
    </row>
    <row r="19" spans="1:17" s="408" customFormat="1" ht="18" customHeight="1">
      <c r="A19" s="515" t="s">
        <v>233</v>
      </c>
      <c r="B19" s="441"/>
      <c r="C19" s="523"/>
      <c r="D19" s="528"/>
      <c r="E19" s="517"/>
      <c r="F19" s="523"/>
      <c r="G19" s="528"/>
      <c r="H19" s="529"/>
      <c r="I19" s="377"/>
      <c r="M19" s="532"/>
    </row>
    <row r="20" spans="1:17" s="533" customFormat="1" ht="18" customHeight="1">
      <c r="A20" s="515" t="s">
        <v>373</v>
      </c>
      <c r="B20" s="441" t="s">
        <v>232</v>
      </c>
      <c r="C20" s="516"/>
      <c r="D20" s="517"/>
      <c r="E20" s="518"/>
      <c r="F20" s="523">
        <v>1</v>
      </c>
      <c r="G20" s="518">
        <f>(1432.8+25)/1.24</f>
        <v>1175.6451612903224</v>
      </c>
      <c r="H20" s="519">
        <f t="shared" ref="H20:H25" si="1">ROUND(F20*G20,2)</f>
        <v>1175.6500000000001</v>
      </c>
      <c r="I20" s="377"/>
      <c r="K20" s="534"/>
    </row>
    <row r="21" spans="1:17" s="533" customFormat="1" ht="18" customHeight="1">
      <c r="A21" s="515" t="s">
        <v>339</v>
      </c>
      <c r="B21" s="441" t="s">
        <v>318</v>
      </c>
      <c r="C21" s="516"/>
      <c r="D21" s="525"/>
      <c r="E21" s="518"/>
      <c r="F21" s="523">
        <v>1</v>
      </c>
      <c r="G21" s="524">
        <f>G20*0.14</f>
        <v>164.59032258064516</v>
      </c>
      <c r="H21" s="519">
        <f t="shared" si="1"/>
        <v>164.59</v>
      </c>
      <c r="I21" s="377"/>
    </row>
    <row r="22" spans="1:17" s="533" customFormat="1" ht="18" customHeight="1">
      <c r="A22" s="515" t="s">
        <v>340</v>
      </c>
      <c r="B22" s="441" t="s">
        <v>318</v>
      </c>
      <c r="C22" s="516"/>
      <c r="D22" s="525"/>
      <c r="E22" s="518"/>
      <c r="F22" s="523">
        <v>1</v>
      </c>
      <c r="G22" s="524">
        <f>G20*0.1</f>
        <v>117.56451612903226</v>
      </c>
      <c r="H22" s="519">
        <f t="shared" si="1"/>
        <v>117.56</v>
      </c>
      <c r="I22" s="377"/>
    </row>
    <row r="23" spans="1:17" s="408" customFormat="1" ht="18" customHeight="1">
      <c r="A23" s="515" t="s">
        <v>341</v>
      </c>
      <c r="B23" s="441" t="s">
        <v>293</v>
      </c>
      <c r="C23" s="516"/>
      <c r="D23" s="525"/>
      <c r="E23" s="518"/>
      <c r="F23" s="523">
        <v>1</v>
      </c>
      <c r="G23" s="524">
        <f>SUM(G20:G22)*0.03</f>
        <v>43.733999999999988</v>
      </c>
      <c r="H23" s="519">
        <f t="shared" si="1"/>
        <v>43.73</v>
      </c>
      <c r="I23" s="377"/>
      <c r="J23" s="377"/>
    </row>
    <row r="24" spans="1:17" s="408" customFormat="1" ht="18" customHeight="1">
      <c r="A24" s="515" t="s">
        <v>342</v>
      </c>
      <c r="B24" s="441" t="s">
        <v>293</v>
      </c>
      <c r="C24" s="516"/>
      <c r="D24" s="525"/>
      <c r="E24" s="518"/>
      <c r="F24" s="523">
        <v>1</v>
      </c>
      <c r="G24" s="524">
        <f>SUM(G20:G22)*0.01</f>
        <v>14.577999999999998</v>
      </c>
      <c r="H24" s="519">
        <f t="shared" si="1"/>
        <v>14.58</v>
      </c>
      <c r="I24" s="377"/>
      <c r="J24" s="377"/>
    </row>
    <row r="25" spans="1:17" s="408" customFormat="1" ht="18" customHeight="1">
      <c r="A25" s="515" t="s">
        <v>343</v>
      </c>
      <c r="B25" s="441" t="s">
        <v>293</v>
      </c>
      <c r="C25" s="516"/>
      <c r="D25" s="525"/>
      <c r="E25" s="518"/>
      <c r="F25" s="523">
        <v>1</v>
      </c>
      <c r="G25" s="525"/>
      <c r="H25" s="519">
        <f t="shared" si="1"/>
        <v>0</v>
      </c>
      <c r="I25" s="377"/>
      <c r="J25" s="377"/>
    </row>
    <row r="26" spans="1:17" s="408" customFormat="1" ht="18" customHeight="1">
      <c r="A26" s="515"/>
      <c r="B26" s="441"/>
      <c r="C26" s="516"/>
      <c r="D26" s="535"/>
      <c r="E26" s="535"/>
      <c r="F26" s="523"/>
      <c r="G26" s="525"/>
      <c r="H26" s="519"/>
      <c r="I26" s="377"/>
      <c r="J26" s="377"/>
    </row>
    <row r="27" spans="1:17" s="408" customFormat="1" ht="18" customHeight="1">
      <c r="A27" s="536"/>
      <c r="B27" s="441"/>
      <c r="C27" s="516"/>
      <c r="D27" s="535"/>
      <c r="E27" s="535"/>
      <c r="F27" s="516"/>
      <c r="G27" s="535"/>
      <c r="H27" s="537"/>
      <c r="I27" s="377"/>
      <c r="J27" s="377"/>
    </row>
    <row r="28" spans="1:17" s="408" customFormat="1" ht="18" customHeight="1">
      <c r="A28" s="515"/>
      <c r="B28" s="441"/>
      <c r="C28" s="516"/>
      <c r="D28" s="535"/>
      <c r="E28" s="535"/>
      <c r="F28" s="538"/>
      <c r="G28" s="539"/>
      <c r="H28" s="537"/>
      <c r="I28" s="377"/>
      <c r="J28" s="377"/>
    </row>
    <row r="29" spans="1:17" s="408" customFormat="1" ht="18" customHeight="1">
      <c r="A29" s="515"/>
      <c r="B29" s="441"/>
      <c r="C29" s="516"/>
      <c r="D29" s="535"/>
      <c r="E29" s="535"/>
      <c r="F29" s="538"/>
      <c r="G29" s="539"/>
      <c r="H29" s="537"/>
      <c r="I29" s="377"/>
      <c r="J29" s="377"/>
    </row>
    <row r="30" spans="1:17" s="408" customFormat="1" ht="18" customHeight="1">
      <c r="A30" s="536"/>
      <c r="B30" s="441"/>
      <c r="C30" s="516"/>
      <c r="D30" s="535"/>
      <c r="E30" s="535"/>
      <c r="F30" s="516"/>
      <c r="G30" s="535"/>
      <c r="H30" s="537"/>
      <c r="I30" s="377"/>
      <c r="J30" s="377"/>
    </row>
    <row r="31" spans="1:17" s="408" customFormat="1" ht="18" customHeight="1">
      <c r="A31" s="515"/>
      <c r="B31" s="441"/>
      <c r="C31" s="516"/>
      <c r="D31" s="535"/>
      <c r="E31" s="535"/>
      <c r="F31" s="538"/>
      <c r="G31" s="539"/>
      <c r="H31" s="537"/>
      <c r="I31" s="377"/>
      <c r="J31" s="377"/>
    </row>
    <row r="32" spans="1:17" s="408" customFormat="1" ht="22.5" customHeight="1">
      <c r="A32" s="536" t="s">
        <v>80</v>
      </c>
      <c r="B32" s="441"/>
      <c r="C32" s="540"/>
      <c r="D32" s="517"/>
      <c r="E32" s="541">
        <f>SUM(E6:E31)</f>
        <v>1490.11</v>
      </c>
      <c r="F32" s="542"/>
      <c r="G32" s="543"/>
      <c r="H32" s="519">
        <f>SUM(H6:H31)</f>
        <v>1516.11</v>
      </c>
      <c r="I32" s="377"/>
      <c r="J32" s="377"/>
    </row>
    <row r="33" spans="1:10" s="408" customFormat="1" ht="22.5" customHeight="1">
      <c r="A33" s="536" t="s">
        <v>81</v>
      </c>
      <c r="B33" s="544">
        <v>0</v>
      </c>
      <c r="C33" s="540"/>
      <c r="D33" s="517"/>
      <c r="E33" s="517">
        <f>E32*B33</f>
        <v>0</v>
      </c>
      <c r="F33" s="517"/>
      <c r="G33" s="540"/>
      <c r="H33" s="529">
        <f>H32*B33</f>
        <v>0</v>
      </c>
      <c r="I33" s="377"/>
      <c r="J33" s="377"/>
    </row>
    <row r="34" spans="1:10" s="408" customFormat="1" ht="22.5" customHeight="1">
      <c r="A34" s="536" t="s">
        <v>294</v>
      </c>
      <c r="B34" s="441"/>
      <c r="C34" s="540"/>
      <c r="D34" s="517"/>
      <c r="E34" s="528">
        <f>SUM(E32:E33)</f>
        <v>1490.11</v>
      </c>
      <c r="F34" s="545"/>
      <c r="G34" s="540"/>
      <c r="H34" s="546">
        <f>SUM(H32:H33)</f>
        <v>1516.11</v>
      </c>
      <c r="I34" s="377"/>
      <c r="J34" s="377"/>
    </row>
    <row r="35" spans="1:10" s="408" customFormat="1" ht="22.5" customHeight="1">
      <c r="A35" s="536" t="s">
        <v>82</v>
      </c>
      <c r="B35" s="441"/>
      <c r="C35" s="540"/>
      <c r="D35" s="517"/>
      <c r="E35" s="528">
        <f>ROUND(E34,2)</f>
        <v>1490.11</v>
      </c>
      <c r="F35" s="545"/>
      <c r="G35" s="540"/>
      <c r="H35" s="529">
        <f>ROUND(H34,2)</f>
        <v>1516.11</v>
      </c>
      <c r="I35" s="377"/>
      <c r="J35" s="377"/>
    </row>
    <row r="36" spans="1:10" ht="22.5" customHeight="1" thickBot="1">
      <c r="A36" s="547"/>
      <c r="B36" s="548"/>
      <c r="C36" s="828"/>
      <c r="D36" s="828"/>
      <c r="E36" s="549"/>
      <c r="F36" s="549"/>
      <c r="G36" s="550" t="s">
        <v>83</v>
      </c>
      <c r="H36" s="551">
        <f>E35-H35</f>
        <v>-26</v>
      </c>
      <c r="I36" s="377"/>
    </row>
    <row r="37" spans="1:10">
      <c r="E37" s="553"/>
      <c r="F37" s="553"/>
      <c r="G37" s="552"/>
      <c r="H37" s="553"/>
      <c r="I37" s="377"/>
    </row>
    <row r="38" spans="1:10">
      <c r="E38" s="554"/>
      <c r="F38" s="553"/>
      <c r="G38" s="553"/>
      <c r="I38" s="377"/>
    </row>
    <row r="39" spans="1:10">
      <c r="E39" s="554"/>
      <c r="F39" s="553"/>
      <c r="G39" s="553"/>
      <c r="I39" s="377"/>
    </row>
    <row r="40" spans="1:10">
      <c r="E40" s="554"/>
      <c r="F40" s="553"/>
      <c r="G40" s="553"/>
      <c r="I40" s="377"/>
    </row>
    <row r="41" spans="1:10">
      <c r="B41" s="555"/>
      <c r="C41" s="555"/>
      <c r="E41" s="554"/>
      <c r="F41" s="553"/>
      <c r="G41" s="553"/>
      <c r="H41" s="555"/>
      <c r="I41" s="377"/>
    </row>
    <row r="42" spans="1:10">
      <c r="E42" s="554"/>
      <c r="F42" s="553"/>
      <c r="G42" s="553"/>
      <c r="I42" s="377"/>
    </row>
    <row r="43" spans="1:10">
      <c r="E43" s="554"/>
      <c r="F43" s="553"/>
      <c r="G43" s="553"/>
      <c r="I43" s="377"/>
    </row>
    <row r="44" spans="1:10">
      <c r="E44" s="554"/>
      <c r="F44" s="553"/>
      <c r="G44" s="553"/>
      <c r="I44" s="377"/>
    </row>
    <row r="45" spans="1:10">
      <c r="E45" s="554"/>
      <c r="F45" s="553"/>
      <c r="G45" s="553"/>
      <c r="I45" s="377"/>
    </row>
    <row r="46" spans="1:10">
      <c r="E46" s="554"/>
      <c r="F46" s="553"/>
      <c r="G46" s="553"/>
      <c r="I46" s="377"/>
    </row>
    <row r="47" spans="1:10">
      <c r="B47" s="555"/>
      <c r="C47" s="555"/>
      <c r="E47" s="554"/>
      <c r="F47" s="553"/>
      <c r="G47" s="553"/>
      <c r="H47" s="555"/>
      <c r="I47" s="377"/>
    </row>
    <row r="48" spans="1:10">
      <c r="B48" s="555"/>
      <c r="C48" s="555"/>
      <c r="E48" s="554"/>
      <c r="F48" s="553"/>
      <c r="G48" s="553"/>
      <c r="H48" s="555"/>
      <c r="I48" s="377"/>
    </row>
    <row r="49" spans="1:10">
      <c r="E49" s="554"/>
      <c r="F49" s="553"/>
      <c r="G49" s="553"/>
      <c r="I49" s="377"/>
    </row>
    <row r="50" spans="1:10">
      <c r="E50" s="554"/>
      <c r="F50" s="553"/>
      <c r="G50" s="553"/>
      <c r="I50" s="377"/>
    </row>
    <row r="51" spans="1:10">
      <c r="E51" s="554"/>
      <c r="F51" s="553"/>
      <c r="G51" s="553"/>
      <c r="I51" s="377"/>
    </row>
    <row r="52" spans="1:10">
      <c r="E52" s="554"/>
      <c r="F52" s="553"/>
      <c r="G52" s="553"/>
      <c r="I52" s="377"/>
    </row>
    <row r="53" spans="1:10">
      <c r="E53" s="554"/>
      <c r="F53" s="553"/>
      <c r="G53" s="553"/>
      <c r="I53" s="377"/>
    </row>
    <row r="54" spans="1:10">
      <c r="E54" s="554"/>
      <c r="F54" s="553"/>
      <c r="G54" s="553"/>
      <c r="I54" s="377"/>
    </row>
    <row r="55" spans="1:10">
      <c r="E55" s="554"/>
      <c r="F55" s="553"/>
      <c r="G55" s="553"/>
      <c r="I55" s="377"/>
    </row>
    <row r="56" spans="1:10">
      <c r="E56" s="554"/>
      <c r="F56" s="553"/>
      <c r="G56" s="553"/>
      <c r="I56" s="377"/>
    </row>
    <row r="57" spans="1:10">
      <c r="E57" s="554"/>
      <c r="F57" s="553"/>
      <c r="G57" s="553"/>
    </row>
    <row r="58" spans="1:10" s="490" customFormat="1" ht="16.5">
      <c r="A58" s="389"/>
      <c r="B58" s="552"/>
      <c r="C58" s="552"/>
      <c r="D58" s="552"/>
      <c r="E58" s="554"/>
      <c r="F58" s="389"/>
      <c r="G58" s="389"/>
      <c r="H58" s="552"/>
      <c r="J58" s="377"/>
    </row>
    <row r="59" spans="1:10" ht="16.5">
      <c r="A59" s="490"/>
      <c r="B59" s="508"/>
      <c r="C59" s="508"/>
      <c r="D59" s="508"/>
      <c r="E59" s="556"/>
      <c r="F59" s="557"/>
      <c r="G59" s="557"/>
      <c r="H59" s="508"/>
    </row>
    <row r="60" spans="1:10">
      <c r="E60" s="554"/>
    </row>
    <row r="61" spans="1:10">
      <c r="D61" s="558"/>
      <c r="E61" s="554"/>
      <c r="F61" s="553"/>
      <c r="G61" s="553"/>
    </row>
    <row r="62" spans="1:10">
      <c r="E62" s="554"/>
    </row>
    <row r="63" spans="1:10">
      <c r="E63" s="554"/>
      <c r="F63" s="553"/>
      <c r="G63" s="553"/>
    </row>
    <row r="64" spans="1:10">
      <c r="E64" s="554"/>
    </row>
    <row r="65" spans="1:10">
      <c r="E65" s="554"/>
    </row>
    <row r="66" spans="1:10">
      <c r="E66" s="554"/>
      <c r="F66" s="553"/>
      <c r="G66" s="553"/>
    </row>
    <row r="67" spans="1:10">
      <c r="E67" s="554"/>
    </row>
    <row r="68" spans="1:10" s="490" customFormat="1" ht="16.5">
      <c r="A68" s="389"/>
      <c r="B68" s="552"/>
      <c r="C68" s="552"/>
      <c r="D68" s="552"/>
      <c r="E68" s="554"/>
      <c r="F68" s="389"/>
      <c r="G68" s="389"/>
      <c r="H68" s="552"/>
      <c r="J68" s="377"/>
    </row>
    <row r="69" spans="1:10" ht="16.5">
      <c r="A69" s="490"/>
      <c r="D69" s="559"/>
      <c r="E69" s="556"/>
      <c r="F69" s="557"/>
      <c r="G69" s="557"/>
      <c r="H69" s="508"/>
    </row>
    <row r="70" spans="1:10">
      <c r="E70" s="554"/>
    </row>
    <row r="71" spans="1:10">
      <c r="E71" s="554"/>
    </row>
    <row r="72" spans="1:10">
      <c r="E72" s="554"/>
    </row>
    <row r="73" spans="1:10">
      <c r="E73" s="554"/>
    </row>
    <row r="74" spans="1:10">
      <c r="E74" s="554"/>
    </row>
    <row r="75" spans="1:10">
      <c r="E75" s="554"/>
    </row>
    <row r="76" spans="1:10">
      <c r="E76" s="554"/>
    </row>
    <row r="77" spans="1:10">
      <c r="E77" s="554"/>
    </row>
    <row r="78" spans="1:10">
      <c r="E78" s="554"/>
    </row>
    <row r="79" spans="1:10">
      <c r="E79" s="554"/>
    </row>
    <row r="80" spans="1:10">
      <c r="E80" s="554"/>
    </row>
    <row r="81" spans="5:5">
      <c r="E81" s="554"/>
    </row>
    <row r="82" spans="5:5">
      <c r="E82" s="554"/>
    </row>
    <row r="83" spans="5:5">
      <c r="E83" s="554"/>
    </row>
    <row r="84" spans="5:5">
      <c r="E84" s="554"/>
    </row>
    <row r="85" spans="5:5">
      <c r="E85" s="554"/>
    </row>
    <row r="86" spans="5:5">
      <c r="E86" s="554"/>
    </row>
    <row r="87" spans="5:5">
      <c r="E87" s="554"/>
    </row>
    <row r="88" spans="5:5">
      <c r="E88" s="554"/>
    </row>
    <row r="89" spans="5:5">
      <c r="E89" s="554"/>
    </row>
    <row r="90" spans="5:5">
      <c r="E90" s="554"/>
    </row>
    <row r="91" spans="5:5">
      <c r="E91" s="554"/>
    </row>
    <row r="92" spans="5:5">
      <c r="E92" s="554"/>
    </row>
    <row r="93" spans="5:5">
      <c r="E93" s="554"/>
    </row>
    <row r="94" spans="5:5">
      <c r="E94" s="554"/>
    </row>
    <row r="95" spans="5:5">
      <c r="E95" s="554"/>
    </row>
    <row r="96" spans="5:5">
      <c r="E96" s="554"/>
    </row>
    <row r="97" spans="5:5">
      <c r="E97" s="554"/>
    </row>
    <row r="98" spans="5:5">
      <c r="E98" s="554"/>
    </row>
  </sheetData>
  <mergeCells count="8">
    <mergeCell ref="A3:A4"/>
    <mergeCell ref="A1:H1"/>
    <mergeCell ref="C36:D36"/>
    <mergeCell ref="B3:B4"/>
    <mergeCell ref="C3:E3"/>
    <mergeCell ref="F3:H3"/>
    <mergeCell ref="C4:E4"/>
    <mergeCell ref="F4:H4"/>
  </mergeCells>
  <phoneticPr fontId="2" type="noConversion"/>
  <pageMargins left="0.78740157480314965" right="0.78740157480314965" top="1.1811023622047245" bottom="0.78740157480314965" header="0.94488188976377963" footer="0.59055118110236227"/>
  <pageSetup paperSize="9" scale="99" orientation="portrait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98"/>
  <sheetViews>
    <sheetView view="pageBreakPreview" topLeftCell="A4" zoomScale="115" zoomScaleNormal="100" zoomScaleSheetLayoutView="115" workbookViewId="0">
      <selection activeCell="G20" activeCellId="1" sqref="D7 G20"/>
    </sheetView>
  </sheetViews>
  <sheetFormatPr defaultRowHeight="15.75"/>
  <cols>
    <col min="1" max="1" width="23.77734375" style="28" customWidth="1"/>
    <col min="2" max="2" width="3.77734375" style="81" customWidth="1"/>
    <col min="3" max="3" width="6.77734375" style="81" customWidth="1"/>
    <col min="4" max="4" width="7.77734375" style="81" customWidth="1"/>
    <col min="5" max="5" width="8.77734375" style="90" customWidth="1"/>
    <col min="6" max="6" width="6.77734375" style="28" customWidth="1"/>
    <col min="7" max="7" width="7.77734375" style="28" customWidth="1"/>
    <col min="8" max="8" width="8.77734375" style="81" customWidth="1"/>
    <col min="9" max="9" width="2.6640625" style="28" customWidth="1"/>
    <col min="10" max="10" width="13.109375" style="37" customWidth="1"/>
    <col min="11" max="17" width="9" style="28" customWidth="1"/>
    <col min="18" max="16384" width="8.88671875" style="28"/>
  </cols>
  <sheetData>
    <row r="1" spans="1:18" s="78" customFormat="1" ht="30" customHeight="1">
      <c r="A1" s="749" t="s">
        <v>74</v>
      </c>
      <c r="B1" s="784"/>
      <c r="C1" s="784"/>
      <c r="D1" s="784"/>
      <c r="E1" s="784"/>
      <c r="F1" s="784"/>
      <c r="G1" s="784"/>
      <c r="H1" s="750"/>
      <c r="I1" s="37"/>
    </row>
    <row r="2" spans="1:18" ht="20.100000000000001" customHeight="1">
      <c r="A2" s="240" t="str">
        <f>'1a-Performance'!A2</f>
        <v xml:space="preserve">VE Title : </v>
      </c>
      <c r="B2" s="239" t="str">
        <f>'1a-Performance'!B2</f>
        <v>포장두께</v>
      </c>
      <c r="C2" s="244"/>
      <c r="D2" s="244"/>
      <c r="E2" s="244"/>
      <c r="F2" s="244"/>
      <c r="G2" s="260"/>
      <c r="H2" s="261"/>
      <c r="I2" s="37"/>
      <c r="J2" s="28"/>
    </row>
    <row r="3" spans="1:18" ht="23.1" customHeight="1">
      <c r="A3" s="844" t="s">
        <v>75</v>
      </c>
      <c r="B3" s="846"/>
      <c r="C3" s="848" t="s">
        <v>234</v>
      </c>
      <c r="D3" s="849"/>
      <c r="E3" s="850"/>
      <c r="F3" s="848" t="s">
        <v>235</v>
      </c>
      <c r="G3" s="849"/>
      <c r="H3" s="852"/>
      <c r="I3" s="37"/>
      <c r="J3" s="92"/>
      <c r="K3" s="33"/>
      <c r="L3" s="33"/>
      <c r="M3" s="33"/>
      <c r="N3" s="33"/>
      <c r="O3" s="33"/>
      <c r="P3" s="33"/>
      <c r="Q3" s="33"/>
      <c r="R3" s="33"/>
    </row>
    <row r="4" spans="1:18" s="79" customFormat="1" ht="23.1" customHeight="1">
      <c r="A4" s="845"/>
      <c r="B4" s="847"/>
      <c r="C4" s="841">
        <f>'4c-Rating Rationale (3)'!D2</f>
        <v>0</v>
      </c>
      <c r="D4" s="842"/>
      <c r="E4" s="851"/>
      <c r="F4" s="841">
        <f>'4d-Rating Rationale (4)'!D2</f>
        <v>0</v>
      </c>
      <c r="G4" s="842"/>
      <c r="H4" s="843"/>
      <c r="I4" s="37"/>
      <c r="J4" s="92"/>
      <c r="K4" s="94"/>
      <c r="L4" s="94"/>
      <c r="M4" s="94"/>
      <c r="N4" s="94"/>
      <c r="O4" s="94"/>
      <c r="P4" s="94"/>
      <c r="Q4" s="94"/>
      <c r="R4" s="94"/>
    </row>
    <row r="5" spans="1:18" s="79" customFormat="1" ht="20.100000000000001" customHeight="1">
      <c r="A5" s="123" t="s">
        <v>76</v>
      </c>
      <c r="B5" s="246" t="s">
        <v>77</v>
      </c>
      <c r="C5" s="247" t="s">
        <v>78</v>
      </c>
      <c r="D5" s="245" t="s">
        <v>229</v>
      </c>
      <c r="E5" s="248" t="s">
        <v>79</v>
      </c>
      <c r="F5" s="249" t="s">
        <v>78</v>
      </c>
      <c r="G5" s="245" t="s">
        <v>229</v>
      </c>
      <c r="H5" s="262" t="s">
        <v>79</v>
      </c>
      <c r="J5" s="93"/>
      <c r="K5" s="93"/>
      <c r="L5" s="93"/>
      <c r="M5" s="93"/>
      <c r="N5" s="93"/>
      <c r="O5" s="93"/>
      <c r="P5" s="93"/>
      <c r="Q5" s="93"/>
      <c r="R5" s="93"/>
    </row>
    <row r="6" spans="1:18" s="33" customFormat="1" ht="18" customHeight="1">
      <c r="A6" s="263" t="s">
        <v>298</v>
      </c>
      <c r="B6" s="53"/>
      <c r="C6" s="250"/>
      <c r="D6" s="117"/>
      <c r="E6" s="251"/>
      <c r="F6" s="250"/>
      <c r="G6" s="117"/>
      <c r="H6" s="264"/>
      <c r="J6" s="92"/>
      <c r="K6" s="95"/>
      <c r="L6" s="95"/>
      <c r="M6" s="95"/>
      <c r="N6" s="95"/>
      <c r="O6" s="95"/>
      <c r="P6" s="95"/>
      <c r="Q6" s="95"/>
    </row>
    <row r="7" spans="1:18" s="33" customFormat="1" ht="18" customHeight="1">
      <c r="A7" s="263" t="s">
        <v>231</v>
      </c>
      <c r="B7" s="53" t="s">
        <v>232</v>
      </c>
      <c r="C7" s="252">
        <v>1</v>
      </c>
      <c r="D7" s="251"/>
      <c r="E7" s="251">
        <f t="shared" ref="E7:E12" si="0">ROUND(C7*D7,2)</f>
        <v>0</v>
      </c>
      <c r="F7" s="250"/>
      <c r="G7" s="117"/>
      <c r="H7" s="264"/>
      <c r="J7" s="92"/>
      <c r="K7" s="95"/>
      <c r="L7" s="95"/>
      <c r="M7" s="95"/>
      <c r="N7" s="95"/>
      <c r="O7" s="95"/>
      <c r="P7" s="95"/>
      <c r="Q7" s="95"/>
    </row>
    <row r="8" spans="1:18" s="33" customFormat="1" ht="18" customHeight="1">
      <c r="A8" s="263" t="s">
        <v>314</v>
      </c>
      <c r="B8" s="53" t="s">
        <v>232</v>
      </c>
      <c r="C8" s="252">
        <v>1</v>
      </c>
      <c r="D8" s="363">
        <f>D7*0.1628</f>
        <v>0</v>
      </c>
      <c r="E8" s="251">
        <f t="shared" si="0"/>
        <v>0</v>
      </c>
      <c r="F8" s="250"/>
      <c r="G8" s="253"/>
      <c r="H8" s="264"/>
      <c r="J8" s="92"/>
      <c r="L8" s="96"/>
      <c r="M8" s="96"/>
      <c r="N8" s="96"/>
      <c r="O8" s="96"/>
      <c r="P8" s="96"/>
      <c r="Q8" s="96"/>
    </row>
    <row r="9" spans="1:18" s="33" customFormat="1" ht="18" customHeight="1">
      <c r="A9" s="263" t="s">
        <v>315</v>
      </c>
      <c r="B9" s="53" t="s">
        <v>232</v>
      </c>
      <c r="C9" s="252">
        <v>1</v>
      </c>
      <c r="D9" s="363">
        <f>D7*0.126</f>
        <v>0</v>
      </c>
      <c r="E9" s="251">
        <f t="shared" si="0"/>
        <v>0</v>
      </c>
      <c r="F9" s="250"/>
      <c r="G9" s="253"/>
      <c r="H9" s="264"/>
      <c r="J9" s="92"/>
      <c r="L9" s="96"/>
      <c r="M9" s="96"/>
      <c r="N9" s="95"/>
      <c r="O9" s="95"/>
      <c r="P9" s="95"/>
      <c r="Q9" s="95"/>
    </row>
    <row r="10" spans="1:18" s="33" customFormat="1" ht="18" customHeight="1">
      <c r="A10" s="263" t="s">
        <v>296</v>
      </c>
      <c r="B10" s="53" t="s">
        <v>232</v>
      </c>
      <c r="C10" s="252">
        <v>1</v>
      </c>
      <c r="D10" s="363">
        <f>SUM(D7:D9)*0.03</f>
        <v>0</v>
      </c>
      <c r="E10" s="251">
        <f t="shared" si="0"/>
        <v>0</v>
      </c>
      <c r="F10" s="250"/>
      <c r="G10" s="253"/>
      <c r="H10" s="264"/>
      <c r="J10" s="92"/>
      <c r="L10" s="96"/>
      <c r="M10" s="96"/>
      <c r="N10" s="95"/>
      <c r="O10" s="95"/>
      <c r="P10" s="95"/>
      <c r="Q10" s="95"/>
    </row>
    <row r="11" spans="1:18" s="33" customFormat="1" ht="18" customHeight="1">
      <c r="A11" s="263" t="s">
        <v>297</v>
      </c>
      <c r="B11" s="53" t="s">
        <v>232</v>
      </c>
      <c r="C11" s="252">
        <v>1</v>
      </c>
      <c r="D11" s="363">
        <f>SUM(D7:D9)*0.01</f>
        <v>0</v>
      </c>
      <c r="E11" s="251">
        <f t="shared" si="0"/>
        <v>0</v>
      </c>
      <c r="F11" s="250"/>
      <c r="G11" s="253"/>
      <c r="H11" s="264"/>
      <c r="J11" s="92"/>
      <c r="L11" s="96"/>
      <c r="M11" s="96"/>
    </row>
    <row r="12" spans="1:18" s="33" customFormat="1" ht="18" customHeight="1">
      <c r="A12" s="263" t="s">
        <v>295</v>
      </c>
      <c r="B12" s="53" t="s">
        <v>232</v>
      </c>
      <c r="C12" s="252">
        <v>1</v>
      </c>
      <c r="D12" s="363"/>
      <c r="E12" s="251">
        <f t="shared" si="0"/>
        <v>0</v>
      </c>
      <c r="F12" s="250"/>
      <c r="G12" s="253"/>
      <c r="H12" s="264"/>
      <c r="J12" s="92"/>
    </row>
    <row r="13" spans="1:18" s="33" customFormat="1" ht="18" customHeight="1">
      <c r="A13" s="263"/>
      <c r="B13" s="53"/>
      <c r="C13" s="252"/>
      <c r="D13" s="253"/>
      <c r="E13" s="251"/>
      <c r="F13" s="252"/>
      <c r="G13" s="254"/>
      <c r="H13" s="112"/>
      <c r="J13" s="92"/>
      <c r="L13" s="96"/>
      <c r="M13" s="96"/>
      <c r="N13" s="96"/>
      <c r="O13" s="96"/>
      <c r="P13" s="96"/>
      <c r="Q13" s="96"/>
    </row>
    <row r="14" spans="1:18" s="33" customFormat="1" ht="18" customHeight="1">
      <c r="A14" s="263"/>
      <c r="B14" s="53"/>
      <c r="C14" s="252"/>
      <c r="D14" s="253"/>
      <c r="E14" s="251"/>
      <c r="F14" s="250"/>
      <c r="G14" s="253"/>
      <c r="H14" s="264"/>
      <c r="I14" s="37"/>
      <c r="J14" s="92"/>
      <c r="N14" s="96"/>
      <c r="O14" s="96"/>
      <c r="P14" s="96"/>
      <c r="Q14" s="96"/>
    </row>
    <row r="15" spans="1:18" s="33" customFormat="1" ht="18" customHeight="1">
      <c r="A15" s="263"/>
      <c r="B15" s="53"/>
      <c r="C15" s="252"/>
      <c r="D15" s="253"/>
      <c r="E15" s="251"/>
      <c r="F15" s="250"/>
      <c r="G15" s="253"/>
      <c r="H15" s="264"/>
      <c r="I15" s="37"/>
      <c r="J15" s="92"/>
    </row>
    <row r="16" spans="1:18" s="33" customFormat="1" ht="18" customHeight="1">
      <c r="A16" s="263"/>
      <c r="B16" s="53"/>
      <c r="C16" s="252"/>
      <c r="D16" s="253"/>
      <c r="E16" s="251"/>
      <c r="F16" s="250"/>
      <c r="G16" s="253"/>
      <c r="H16" s="264"/>
      <c r="I16" s="37"/>
      <c r="J16" s="92"/>
    </row>
    <row r="17" spans="1:17" s="33" customFormat="1" ht="18" customHeight="1">
      <c r="A17" s="263"/>
      <c r="B17" s="53"/>
      <c r="C17" s="252"/>
      <c r="D17" s="253"/>
      <c r="E17" s="251"/>
      <c r="F17" s="250"/>
      <c r="G17" s="253"/>
      <c r="H17" s="264"/>
      <c r="I17" s="37"/>
      <c r="J17" s="92"/>
    </row>
    <row r="18" spans="1:17" s="33" customFormat="1" ht="18" customHeight="1">
      <c r="A18" s="263"/>
      <c r="B18" s="53"/>
      <c r="C18" s="252"/>
      <c r="D18" s="253"/>
      <c r="E18" s="251"/>
      <c r="F18" s="252"/>
      <c r="G18" s="254"/>
      <c r="H18" s="112"/>
      <c r="I18" s="37"/>
      <c r="J18" s="92"/>
      <c r="K18" s="97"/>
      <c r="L18" s="97"/>
      <c r="M18" s="97"/>
      <c r="N18" s="97"/>
      <c r="O18" s="97"/>
      <c r="P18" s="97"/>
      <c r="Q18" s="97"/>
    </row>
    <row r="19" spans="1:17" s="33" customFormat="1" ht="18" customHeight="1">
      <c r="A19" s="263" t="s">
        <v>299</v>
      </c>
      <c r="B19" s="255"/>
      <c r="C19" s="252"/>
      <c r="D19" s="254"/>
      <c r="E19" s="117"/>
      <c r="F19" s="252"/>
      <c r="G19" s="254"/>
      <c r="H19" s="112"/>
      <c r="I19" s="37"/>
    </row>
    <row r="20" spans="1:17" s="80" customFormat="1" ht="18" customHeight="1">
      <c r="A20" s="263" t="s">
        <v>231</v>
      </c>
      <c r="B20" s="53" t="s">
        <v>232</v>
      </c>
      <c r="C20" s="250"/>
      <c r="D20" s="117"/>
      <c r="E20" s="251"/>
      <c r="F20" s="252">
        <v>1</v>
      </c>
      <c r="G20" s="251"/>
      <c r="H20" s="264">
        <f t="shared" ref="H20:H25" si="1">ROUND(F20*G20,2)</f>
        <v>0</v>
      </c>
      <c r="I20" s="37"/>
      <c r="J20" s="37"/>
    </row>
    <row r="21" spans="1:17" s="80" customFormat="1" ht="18" customHeight="1">
      <c r="A21" s="263" t="s">
        <v>314</v>
      </c>
      <c r="B21" s="53" t="s">
        <v>232</v>
      </c>
      <c r="C21" s="250"/>
      <c r="D21" s="253"/>
      <c r="E21" s="251"/>
      <c r="F21" s="252">
        <v>1</v>
      </c>
      <c r="G21" s="363">
        <f>G20*0.1628</f>
        <v>0</v>
      </c>
      <c r="H21" s="264">
        <f t="shared" si="1"/>
        <v>0</v>
      </c>
      <c r="I21" s="37"/>
      <c r="J21" s="37"/>
    </row>
    <row r="22" spans="1:17" s="80" customFormat="1" ht="18" customHeight="1">
      <c r="A22" s="263" t="s">
        <v>315</v>
      </c>
      <c r="B22" s="53" t="s">
        <v>232</v>
      </c>
      <c r="C22" s="250"/>
      <c r="D22" s="253"/>
      <c r="E22" s="251"/>
      <c r="F22" s="252">
        <v>1</v>
      </c>
      <c r="G22" s="363">
        <f>G20*0.126</f>
        <v>0</v>
      </c>
      <c r="H22" s="264">
        <f t="shared" si="1"/>
        <v>0</v>
      </c>
      <c r="I22" s="37"/>
      <c r="J22" s="37"/>
    </row>
    <row r="23" spans="1:17" s="33" customFormat="1" ht="18" customHeight="1">
      <c r="A23" s="263" t="s">
        <v>296</v>
      </c>
      <c r="B23" s="53" t="s">
        <v>232</v>
      </c>
      <c r="C23" s="250"/>
      <c r="D23" s="253"/>
      <c r="E23" s="251"/>
      <c r="F23" s="252">
        <v>1</v>
      </c>
      <c r="G23" s="363">
        <f>SUM(G20:G22)*0.03</f>
        <v>0</v>
      </c>
      <c r="H23" s="264">
        <f t="shared" si="1"/>
        <v>0</v>
      </c>
      <c r="I23" s="37"/>
      <c r="J23" s="37"/>
    </row>
    <row r="24" spans="1:17" s="33" customFormat="1" ht="18" customHeight="1">
      <c r="A24" s="263" t="s">
        <v>297</v>
      </c>
      <c r="B24" s="53" t="s">
        <v>232</v>
      </c>
      <c r="C24" s="250"/>
      <c r="D24" s="253"/>
      <c r="E24" s="251"/>
      <c r="F24" s="252">
        <v>1</v>
      </c>
      <c r="G24" s="363">
        <f>SUM(G20:G22)*0.01</f>
        <v>0</v>
      </c>
      <c r="H24" s="264">
        <f t="shared" si="1"/>
        <v>0</v>
      </c>
      <c r="I24" s="37"/>
      <c r="J24" s="37"/>
    </row>
    <row r="25" spans="1:17" s="33" customFormat="1" ht="18" customHeight="1">
      <c r="A25" s="263" t="s">
        <v>295</v>
      </c>
      <c r="B25" s="53" t="s">
        <v>232</v>
      </c>
      <c r="C25" s="250"/>
      <c r="D25" s="253"/>
      <c r="E25" s="251"/>
      <c r="F25" s="252">
        <v>1</v>
      </c>
      <c r="G25" s="253"/>
      <c r="H25" s="264">
        <f t="shared" si="1"/>
        <v>0</v>
      </c>
      <c r="I25" s="37"/>
      <c r="J25" s="37"/>
    </row>
    <row r="26" spans="1:17" s="33" customFormat="1" ht="18" customHeight="1">
      <c r="A26" s="263"/>
      <c r="B26" s="53"/>
      <c r="C26" s="250"/>
      <c r="D26" s="256"/>
      <c r="E26" s="256"/>
      <c r="F26" s="252"/>
      <c r="G26" s="253"/>
      <c r="H26" s="264"/>
      <c r="I26" s="37"/>
      <c r="J26" s="37"/>
    </row>
    <row r="27" spans="1:17" s="33" customFormat="1" ht="18" customHeight="1">
      <c r="A27" s="265"/>
      <c r="B27" s="53"/>
      <c r="C27" s="250"/>
      <c r="D27" s="256"/>
      <c r="E27" s="256"/>
      <c r="F27" s="257"/>
      <c r="G27" s="258"/>
      <c r="H27" s="108"/>
      <c r="I27" s="37"/>
      <c r="J27" s="37"/>
    </row>
    <row r="28" spans="1:17" s="33" customFormat="1" ht="18" customHeight="1">
      <c r="A28" s="265"/>
      <c r="B28" s="53"/>
      <c r="C28" s="250"/>
      <c r="D28" s="256"/>
      <c r="E28" s="256"/>
      <c r="F28" s="257"/>
      <c r="G28" s="258"/>
      <c r="H28" s="108"/>
      <c r="I28" s="37"/>
      <c r="J28" s="37"/>
    </row>
    <row r="29" spans="1:17" s="33" customFormat="1" ht="18" customHeight="1">
      <c r="A29" s="265"/>
      <c r="B29" s="53"/>
      <c r="C29" s="250"/>
      <c r="D29" s="256"/>
      <c r="E29" s="256"/>
      <c r="F29" s="250"/>
      <c r="G29" s="256"/>
      <c r="H29" s="108"/>
      <c r="I29" s="37"/>
      <c r="J29" s="37"/>
    </row>
    <row r="30" spans="1:17" s="33" customFormat="1" ht="18" customHeight="1">
      <c r="A30" s="265"/>
      <c r="B30" s="53"/>
      <c r="C30" s="250"/>
      <c r="D30" s="256"/>
      <c r="E30" s="256"/>
      <c r="F30" s="250"/>
      <c r="G30" s="256"/>
      <c r="H30" s="108"/>
      <c r="I30" s="37"/>
      <c r="J30" s="37"/>
    </row>
    <row r="31" spans="1:17" s="33" customFormat="1" ht="18" customHeight="1">
      <c r="A31" s="263"/>
      <c r="B31" s="53"/>
      <c r="C31" s="250"/>
      <c r="D31" s="256"/>
      <c r="E31" s="256"/>
      <c r="F31" s="257"/>
      <c r="G31" s="258"/>
      <c r="H31" s="108"/>
      <c r="I31" s="37"/>
      <c r="J31" s="37"/>
    </row>
    <row r="32" spans="1:17" s="33" customFormat="1" ht="22.5" customHeight="1">
      <c r="A32" s="265" t="s">
        <v>80</v>
      </c>
      <c r="B32" s="53"/>
      <c r="C32" s="250"/>
      <c r="D32" s="256"/>
      <c r="E32" s="386">
        <f>SUM(E6:E31)</f>
        <v>0</v>
      </c>
      <c r="F32" s="387"/>
      <c r="G32" s="388"/>
      <c r="H32" s="264">
        <f>SUM(H6:H31)</f>
        <v>0</v>
      </c>
      <c r="I32" s="37"/>
      <c r="J32" s="37"/>
    </row>
    <row r="33" spans="1:10" s="33" customFormat="1" ht="22.5" customHeight="1">
      <c r="A33" s="265" t="s">
        <v>81</v>
      </c>
      <c r="B33" s="259">
        <v>0</v>
      </c>
      <c r="C33" s="250"/>
      <c r="D33" s="256"/>
      <c r="E33" s="117">
        <f>E32*B33</f>
        <v>0</v>
      </c>
      <c r="F33" s="270"/>
      <c r="G33" s="258"/>
      <c r="H33" s="112">
        <f>H32*B33</f>
        <v>0</v>
      </c>
      <c r="I33" s="37"/>
      <c r="J33" s="37"/>
    </row>
    <row r="34" spans="1:10" s="33" customFormat="1" ht="22.5" customHeight="1">
      <c r="A34" s="265" t="str">
        <f>'5a-Initial Cost (1)'!A34</f>
        <v xml:space="preserve">TOTAL (hundred million won) </v>
      </c>
      <c r="B34" s="53"/>
      <c r="C34" s="250"/>
      <c r="D34" s="256"/>
      <c r="E34" s="254">
        <f>SUM(E32:E33)</f>
        <v>0</v>
      </c>
      <c r="F34" s="257"/>
      <c r="G34" s="258"/>
      <c r="H34" s="266">
        <f>SUM(H32:H33)</f>
        <v>0</v>
      </c>
      <c r="I34" s="37"/>
      <c r="J34" s="37"/>
    </row>
    <row r="35" spans="1:10" s="33" customFormat="1" ht="22.5" customHeight="1">
      <c r="A35" s="265" t="s">
        <v>82</v>
      </c>
      <c r="B35" s="53"/>
      <c r="C35" s="250"/>
      <c r="D35" s="256"/>
      <c r="E35" s="254">
        <f>ROUND(E34,2)</f>
        <v>0</v>
      </c>
      <c r="F35" s="257"/>
      <c r="G35" s="258"/>
      <c r="H35" s="112">
        <f>ROUND(H34,2)</f>
        <v>0</v>
      </c>
      <c r="I35" s="37"/>
      <c r="J35" s="37"/>
    </row>
    <row r="36" spans="1:10" ht="22.5" customHeight="1" thickBot="1">
      <c r="A36" s="267"/>
      <c r="B36" s="268"/>
      <c r="C36" s="271"/>
      <c r="D36" s="272" t="s">
        <v>83</v>
      </c>
      <c r="E36" s="273">
        <f>'5a-Initial Cost (1)'!E35-E35</f>
        <v>1490.11</v>
      </c>
      <c r="F36" s="274"/>
      <c r="G36" s="272" t="s">
        <v>83</v>
      </c>
      <c r="H36" s="269">
        <f>'5a-Initial Cost (1)'!E35-H35</f>
        <v>1490.11</v>
      </c>
      <c r="I36" s="37"/>
    </row>
    <row r="37" spans="1:10">
      <c r="E37" s="82"/>
      <c r="F37" s="82"/>
      <c r="G37" s="81"/>
      <c r="H37" s="82"/>
      <c r="I37" s="37"/>
    </row>
    <row r="38" spans="1:10">
      <c r="E38" s="83"/>
      <c r="F38" s="82"/>
      <c r="G38" s="82"/>
      <c r="I38" s="37"/>
    </row>
    <row r="39" spans="1:10">
      <c r="E39" s="83"/>
      <c r="F39" s="82"/>
      <c r="G39" s="82"/>
      <c r="I39" s="37"/>
    </row>
    <row r="40" spans="1:10">
      <c r="E40" s="83"/>
      <c r="F40" s="82"/>
      <c r="G40" s="82"/>
      <c r="I40" s="37"/>
    </row>
    <row r="41" spans="1:10">
      <c r="B41" s="84"/>
      <c r="C41" s="84"/>
      <c r="E41" s="83"/>
      <c r="F41" s="82"/>
      <c r="G41" s="82"/>
      <c r="H41" s="84"/>
      <c r="I41" s="37"/>
    </row>
    <row r="42" spans="1:10">
      <c r="E42" s="83"/>
      <c r="F42" s="82"/>
      <c r="G42" s="82"/>
      <c r="I42" s="37"/>
    </row>
    <row r="43" spans="1:10">
      <c r="E43" s="83"/>
      <c r="F43" s="82"/>
      <c r="G43" s="82"/>
      <c r="I43" s="37"/>
    </row>
    <row r="44" spans="1:10">
      <c r="E44" s="83"/>
      <c r="F44" s="82"/>
      <c r="G44" s="82"/>
      <c r="I44" s="37"/>
    </row>
    <row r="45" spans="1:10">
      <c r="E45" s="83"/>
      <c r="F45" s="82"/>
      <c r="G45" s="82"/>
      <c r="I45" s="37"/>
    </row>
    <row r="46" spans="1:10">
      <c r="E46" s="83"/>
      <c r="F46" s="82"/>
      <c r="G46" s="82"/>
      <c r="I46" s="37"/>
    </row>
    <row r="47" spans="1:10">
      <c r="B47" s="84"/>
      <c r="C47" s="84"/>
      <c r="E47" s="83"/>
      <c r="F47" s="82"/>
      <c r="G47" s="82"/>
      <c r="H47" s="84"/>
      <c r="I47" s="37"/>
    </row>
    <row r="48" spans="1:10">
      <c r="B48" s="84"/>
      <c r="C48" s="84"/>
      <c r="E48" s="83"/>
      <c r="F48" s="82"/>
      <c r="G48" s="82"/>
      <c r="H48" s="84"/>
      <c r="I48" s="37"/>
    </row>
    <row r="49" spans="1:10">
      <c r="E49" s="83"/>
      <c r="F49" s="82"/>
      <c r="G49" s="82"/>
      <c r="I49" s="37"/>
    </row>
    <row r="50" spans="1:10">
      <c r="E50" s="83"/>
      <c r="F50" s="82"/>
      <c r="G50" s="82"/>
      <c r="I50" s="37"/>
    </row>
    <row r="51" spans="1:10">
      <c r="E51" s="83"/>
      <c r="F51" s="82"/>
      <c r="G51" s="82"/>
      <c r="I51" s="37"/>
    </row>
    <row r="52" spans="1:10">
      <c r="E52" s="83"/>
      <c r="F52" s="82"/>
      <c r="G52" s="82"/>
      <c r="I52" s="37"/>
    </row>
    <row r="53" spans="1:10">
      <c r="E53" s="83"/>
      <c r="F53" s="82"/>
      <c r="G53" s="82"/>
      <c r="I53" s="37"/>
    </row>
    <row r="54" spans="1:10">
      <c r="E54" s="83"/>
      <c r="F54" s="82"/>
      <c r="G54" s="82"/>
      <c r="I54" s="37"/>
    </row>
    <row r="55" spans="1:10">
      <c r="E55" s="83"/>
      <c r="F55" s="82"/>
      <c r="G55" s="82"/>
      <c r="I55" s="37"/>
    </row>
    <row r="56" spans="1:10">
      <c r="E56" s="83"/>
      <c r="F56" s="82"/>
      <c r="G56" s="82"/>
      <c r="I56" s="37"/>
    </row>
    <row r="57" spans="1:10">
      <c r="E57" s="83"/>
      <c r="F57" s="82"/>
      <c r="G57" s="82"/>
    </row>
    <row r="58" spans="1:10" s="85" customFormat="1">
      <c r="A58" s="28"/>
      <c r="B58" s="81"/>
      <c r="C58" s="81"/>
      <c r="D58" s="81"/>
      <c r="E58" s="83"/>
      <c r="F58" s="28"/>
      <c r="G58" s="28"/>
      <c r="H58" s="81"/>
      <c r="J58" s="37"/>
    </row>
    <row r="59" spans="1:10">
      <c r="A59" s="85"/>
      <c r="B59" s="79"/>
      <c r="C59" s="79"/>
      <c r="D59" s="79"/>
      <c r="E59" s="86"/>
      <c r="F59" s="87"/>
      <c r="G59" s="87"/>
      <c r="H59" s="79"/>
    </row>
    <row r="60" spans="1:10">
      <c r="E60" s="83"/>
    </row>
    <row r="61" spans="1:10">
      <c r="D61" s="88"/>
      <c r="E61" s="83"/>
      <c r="F61" s="82"/>
      <c r="G61" s="82"/>
    </row>
    <row r="62" spans="1:10">
      <c r="E62" s="83"/>
    </row>
    <row r="63" spans="1:10">
      <c r="E63" s="83"/>
      <c r="F63" s="82"/>
      <c r="G63" s="82"/>
    </row>
    <row r="64" spans="1:10">
      <c r="E64" s="83"/>
    </row>
    <row r="65" spans="1:10">
      <c r="E65" s="83"/>
    </row>
    <row r="66" spans="1:10">
      <c r="E66" s="83"/>
      <c r="F66" s="82"/>
      <c r="G66" s="82"/>
    </row>
    <row r="67" spans="1:10">
      <c r="E67" s="83"/>
    </row>
    <row r="68" spans="1:10" s="85" customFormat="1">
      <c r="A68" s="28"/>
      <c r="B68" s="81"/>
      <c r="C68" s="81"/>
      <c r="D68" s="81"/>
      <c r="E68" s="83"/>
      <c r="F68" s="28"/>
      <c r="G68" s="28"/>
      <c r="H68" s="81"/>
      <c r="J68" s="37"/>
    </row>
    <row r="69" spans="1:10">
      <c r="A69" s="85"/>
      <c r="D69" s="89"/>
      <c r="E69" s="86"/>
      <c r="F69" s="87"/>
      <c r="G69" s="87"/>
      <c r="H69" s="79"/>
    </row>
    <row r="70" spans="1:10">
      <c r="E70" s="83"/>
    </row>
    <row r="71" spans="1:10">
      <c r="E71" s="83"/>
    </row>
    <row r="72" spans="1:10">
      <c r="E72" s="83"/>
    </row>
    <row r="73" spans="1:10">
      <c r="E73" s="83"/>
    </row>
    <row r="74" spans="1:10">
      <c r="E74" s="83"/>
    </row>
    <row r="75" spans="1:10">
      <c r="E75" s="83"/>
    </row>
    <row r="76" spans="1:10">
      <c r="E76" s="83"/>
    </row>
    <row r="77" spans="1:10">
      <c r="E77" s="83"/>
    </row>
    <row r="78" spans="1:10">
      <c r="E78" s="83"/>
    </row>
    <row r="79" spans="1:10">
      <c r="E79" s="83"/>
    </row>
    <row r="80" spans="1:10">
      <c r="E80" s="83"/>
    </row>
    <row r="81" spans="5:5">
      <c r="E81" s="83"/>
    </row>
    <row r="82" spans="5:5">
      <c r="E82" s="83"/>
    </row>
    <row r="83" spans="5:5">
      <c r="E83" s="83"/>
    </row>
    <row r="84" spans="5:5">
      <c r="E84" s="83"/>
    </row>
    <row r="85" spans="5:5">
      <c r="E85" s="83"/>
    </row>
    <row r="86" spans="5:5">
      <c r="E86" s="83"/>
    </row>
    <row r="87" spans="5:5">
      <c r="E87" s="83"/>
    </row>
    <row r="88" spans="5:5">
      <c r="E88" s="83"/>
    </row>
    <row r="89" spans="5:5">
      <c r="E89" s="83"/>
    </row>
    <row r="90" spans="5:5">
      <c r="E90" s="83"/>
    </row>
    <row r="91" spans="5:5">
      <c r="E91" s="83"/>
    </row>
    <row r="92" spans="5:5">
      <c r="E92" s="83"/>
    </row>
    <row r="93" spans="5:5">
      <c r="E93" s="83"/>
    </row>
    <row r="94" spans="5:5">
      <c r="E94" s="83"/>
    </row>
    <row r="95" spans="5:5">
      <c r="E95" s="83"/>
    </row>
    <row r="96" spans="5:5">
      <c r="E96" s="83"/>
    </row>
    <row r="97" spans="5:5">
      <c r="E97" s="83"/>
    </row>
    <row r="98" spans="5:5">
      <c r="E98" s="83"/>
    </row>
  </sheetData>
  <mergeCells count="7">
    <mergeCell ref="A1:H1"/>
    <mergeCell ref="F4:H4"/>
    <mergeCell ref="A3:A4"/>
    <mergeCell ref="B3:B4"/>
    <mergeCell ref="C3:E3"/>
    <mergeCell ref="C4:E4"/>
    <mergeCell ref="F3:H3"/>
  </mergeCells>
  <phoneticPr fontId="2" type="noConversion"/>
  <pageMargins left="0.78740157480314965" right="0.78740157480314965" top="1.1811023622047245" bottom="0.78740157480314965" header="0.94488188976377963" footer="0.59055118110236227"/>
  <pageSetup paperSize="9" scale="99" orientation="portrait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/>
  </sheetPr>
  <dimension ref="A1:U131"/>
  <sheetViews>
    <sheetView view="pageBreakPreview" zoomScale="115" zoomScaleNormal="100" zoomScaleSheetLayoutView="115" workbookViewId="0">
      <selection activeCell="B20" sqref="B20:D20"/>
    </sheetView>
  </sheetViews>
  <sheetFormatPr defaultRowHeight="15.75"/>
  <cols>
    <col min="1" max="1" width="3" style="377" customWidth="1"/>
    <col min="2" max="3" width="8.88671875" style="389"/>
    <col min="4" max="4" width="11.21875" style="389" customWidth="1"/>
    <col min="5" max="5" width="4.77734375" style="389" customWidth="1"/>
    <col min="6" max="6" width="8.77734375" style="389" customWidth="1"/>
    <col min="7" max="7" width="7" style="389" customWidth="1"/>
    <col min="8" max="9" width="10.77734375" style="389" customWidth="1"/>
    <col min="10" max="10" width="2.21875" style="377" customWidth="1"/>
    <col min="11" max="11" width="7.6640625" style="377" customWidth="1"/>
    <col min="12" max="15" width="10" style="377" customWidth="1"/>
    <col min="16" max="16" width="7.6640625" style="377" customWidth="1"/>
    <col min="17" max="16384" width="8.88671875" style="377"/>
  </cols>
  <sheetData>
    <row r="1" spans="1:21" ht="30" customHeight="1">
      <c r="A1" s="729" t="s">
        <v>84</v>
      </c>
      <c r="B1" s="730"/>
      <c r="C1" s="730"/>
      <c r="D1" s="730"/>
      <c r="E1" s="730"/>
      <c r="F1" s="730"/>
      <c r="G1" s="730"/>
      <c r="H1" s="730"/>
      <c r="I1" s="731"/>
    </row>
    <row r="2" spans="1:21" ht="20.100000000000001" customHeight="1">
      <c r="A2" s="461"/>
      <c r="B2" s="563" t="str">
        <f>'1a-Performance'!A2</f>
        <v xml:space="preserve">VE Title : </v>
      </c>
      <c r="C2" s="723" t="str">
        <f>'1a-Performance'!B2</f>
        <v>포장두께</v>
      </c>
      <c r="D2" s="408"/>
      <c r="E2" s="408"/>
      <c r="F2" s="408"/>
      <c r="G2" s="408"/>
      <c r="H2" s="490"/>
      <c r="I2" s="491"/>
    </row>
    <row r="3" spans="1:21" ht="18" customHeight="1">
      <c r="A3" s="564"/>
      <c r="B3" s="565" t="s">
        <v>85</v>
      </c>
      <c r="C3" s="566"/>
      <c r="D3" s="567">
        <v>50</v>
      </c>
      <c r="E3" s="853" t="s">
        <v>86</v>
      </c>
      <c r="F3" s="853"/>
      <c r="G3" s="853"/>
      <c r="H3" s="568" t="s">
        <v>120</v>
      </c>
      <c r="I3" s="569" t="s">
        <v>121</v>
      </c>
    </row>
    <row r="4" spans="1:21" ht="18" customHeight="1">
      <c r="A4" s="570"/>
      <c r="B4" s="856" t="s">
        <v>87</v>
      </c>
      <c r="C4" s="857"/>
      <c r="D4" s="571">
        <v>5.5</v>
      </c>
      <c r="E4" s="857" t="s">
        <v>88</v>
      </c>
      <c r="F4" s="857"/>
      <c r="G4" s="857"/>
      <c r="H4" s="561" t="str">
        <f>'4a-Rating Rationale (1)'!D2</f>
        <v>비교1안(PCC Slab 46cm)</v>
      </c>
      <c r="I4" s="562" t="str">
        <f>'4b-Rating Rationale (2)'!D2</f>
        <v>비교2안(PCC Slab 50cm)</v>
      </c>
    </row>
    <row r="5" spans="1:21" ht="18" customHeight="1">
      <c r="A5" s="572" t="s">
        <v>89</v>
      </c>
      <c r="B5" s="854" t="s">
        <v>90</v>
      </c>
      <c r="C5" s="855"/>
      <c r="D5" s="855"/>
      <c r="E5" s="855"/>
      <c r="F5" s="855"/>
      <c r="G5" s="855"/>
      <c r="H5" s="573">
        <f>'5a-Initial Cost (1)'!E35</f>
        <v>1490.11</v>
      </c>
      <c r="I5" s="574">
        <f>'5a-Initial Cost (1)'!H35</f>
        <v>1516.11</v>
      </c>
    </row>
    <row r="6" spans="1:21" ht="18" customHeight="1">
      <c r="A6" s="575"/>
      <c r="B6" s="860" t="s">
        <v>91</v>
      </c>
      <c r="C6" s="861"/>
      <c r="D6" s="861"/>
      <c r="E6" s="861"/>
      <c r="F6" s="861"/>
      <c r="G6" s="861"/>
      <c r="H6" s="576"/>
      <c r="I6" s="577">
        <f>H5-I5</f>
        <v>-26</v>
      </c>
    </row>
    <row r="7" spans="1:21" ht="18" customHeight="1">
      <c r="A7" s="572" t="s">
        <v>92</v>
      </c>
      <c r="B7" s="854" t="s">
        <v>93</v>
      </c>
      <c r="C7" s="855"/>
      <c r="D7" s="855"/>
      <c r="E7" s="855"/>
      <c r="F7" s="855"/>
      <c r="G7" s="855"/>
      <c r="H7" s="578"/>
      <c r="I7" s="579"/>
    </row>
    <row r="8" spans="1:21" ht="18" customHeight="1">
      <c r="A8" s="570"/>
      <c r="B8" s="856" t="s">
        <v>313</v>
      </c>
      <c r="C8" s="857"/>
      <c r="D8" s="857"/>
      <c r="E8" s="857"/>
      <c r="F8" s="857"/>
      <c r="G8" s="857"/>
      <c r="H8" s="580">
        <f>600*0.005</f>
        <v>3</v>
      </c>
      <c r="I8" s="581">
        <f>625*0.005</f>
        <v>3.125</v>
      </c>
    </row>
    <row r="9" spans="1:21" ht="18" customHeight="1">
      <c r="A9" s="570"/>
      <c r="B9" s="856" t="s">
        <v>124</v>
      </c>
      <c r="C9" s="857"/>
      <c r="D9" s="857"/>
      <c r="E9" s="857"/>
      <c r="F9" s="857"/>
      <c r="G9" s="857"/>
      <c r="H9" s="580"/>
      <c r="I9" s="581"/>
    </row>
    <row r="10" spans="1:21" ht="18" customHeight="1">
      <c r="A10" s="570"/>
      <c r="B10" s="856" t="s">
        <v>125</v>
      </c>
      <c r="C10" s="857"/>
      <c r="D10" s="857"/>
      <c r="E10" s="857"/>
      <c r="F10" s="857"/>
      <c r="G10" s="857"/>
      <c r="H10" s="580"/>
      <c r="I10" s="581"/>
      <c r="L10" s="378"/>
      <c r="M10" s="378"/>
      <c r="N10" s="378"/>
      <c r="O10" s="378"/>
    </row>
    <row r="11" spans="1:21" ht="18" customHeight="1">
      <c r="A11" s="582"/>
      <c r="B11" s="860" t="s">
        <v>94</v>
      </c>
      <c r="C11" s="862"/>
      <c r="D11" s="862"/>
      <c r="E11" s="862"/>
      <c r="F11" s="862"/>
      <c r="G11" s="862"/>
      <c r="H11" s="583">
        <f>SUM(H8:H10)</f>
        <v>3</v>
      </c>
      <c r="I11" s="584">
        <f>SUM(I8:I10)</f>
        <v>3.125</v>
      </c>
      <c r="L11" s="378"/>
      <c r="M11" s="378"/>
      <c r="N11" s="378"/>
      <c r="O11" s="378"/>
    </row>
    <row r="12" spans="1:21" ht="18" customHeight="1">
      <c r="A12" s="863" t="s">
        <v>95</v>
      </c>
      <c r="B12" s="864"/>
      <c r="C12" s="864"/>
      <c r="D12" s="864"/>
      <c r="E12" s="864"/>
      <c r="F12" s="864"/>
      <c r="G12" s="864"/>
      <c r="H12" s="585">
        <f>PV(D4*0.01,D3,-1)</f>
        <v>16.931517900714002</v>
      </c>
      <c r="I12" s="586">
        <f>PV(D4*0.01,D3,-1)</f>
        <v>16.931517900714002</v>
      </c>
      <c r="L12" s="378"/>
      <c r="M12" s="378"/>
      <c r="N12" s="378"/>
      <c r="O12" s="378"/>
    </row>
    <row r="13" spans="1:21" ht="18" customHeight="1" thickBot="1">
      <c r="A13" s="858" t="s">
        <v>96</v>
      </c>
      <c r="B13" s="859"/>
      <c r="C13" s="859"/>
      <c r="D13" s="859"/>
      <c r="E13" s="859"/>
      <c r="F13" s="859"/>
      <c r="G13" s="859"/>
      <c r="H13" s="587">
        <f>H11*H12</f>
        <v>50.794553702142011</v>
      </c>
      <c r="I13" s="588">
        <f>I11*I12</f>
        <v>52.910993439731257</v>
      </c>
      <c r="K13" s="589" t="s">
        <v>344</v>
      </c>
      <c r="Q13" s="589" t="s">
        <v>345</v>
      </c>
    </row>
    <row r="14" spans="1:21" ht="18" customHeight="1" thickBot="1">
      <c r="A14" s="572" t="s">
        <v>97</v>
      </c>
      <c r="B14" s="590" t="s">
        <v>98</v>
      </c>
      <c r="C14" s="591"/>
      <c r="D14" s="591"/>
      <c r="E14" s="592" t="s">
        <v>99</v>
      </c>
      <c r="F14" s="593" t="s">
        <v>100</v>
      </c>
      <c r="G14" s="594" t="s">
        <v>101</v>
      </c>
      <c r="H14" s="593" t="s">
        <v>102</v>
      </c>
      <c r="I14" s="595" t="s">
        <v>102</v>
      </c>
      <c r="K14" s="596"/>
      <c r="L14" s="597">
        <f>'4a-Rating Rationale (1)'!C1</f>
        <v>0</v>
      </c>
      <c r="M14" s="597">
        <f>'4b-Rating Rationale (2)'!C1</f>
        <v>0</v>
      </c>
      <c r="N14" s="597">
        <f>'4c-Rating Rationale (3)'!C1</f>
        <v>0</v>
      </c>
      <c r="O14" s="598">
        <f>'4d-Rating Rationale (4)'!C1</f>
        <v>0</v>
      </c>
      <c r="Q14" s="596"/>
      <c r="R14" s="597">
        <f>L14</f>
        <v>0</v>
      </c>
      <c r="S14" s="597">
        <f>M14</f>
        <v>0</v>
      </c>
      <c r="T14" s="597">
        <f>N14</f>
        <v>0</v>
      </c>
      <c r="U14" s="598">
        <f>O14</f>
        <v>0</v>
      </c>
    </row>
    <row r="15" spans="1:21" ht="18" customHeight="1" thickTop="1">
      <c r="A15" s="570"/>
      <c r="B15" s="865" t="s">
        <v>301</v>
      </c>
      <c r="C15" s="868"/>
      <c r="D15" s="869"/>
      <c r="E15" s="599"/>
      <c r="F15" s="600"/>
      <c r="G15" s="601">
        <f>(1/(1+$D$4/100)^(E15)*1)</f>
        <v>1</v>
      </c>
      <c r="H15" s="602"/>
      <c r="I15" s="603"/>
      <c r="K15" s="604" t="s">
        <v>346</v>
      </c>
      <c r="L15" s="378">
        <f>H5</f>
        <v>1490.11</v>
      </c>
      <c r="M15" s="378">
        <f>I5</f>
        <v>1516.11</v>
      </c>
      <c r="N15" s="378">
        <f>'5d-Life Cycle Cost (2)'!H5</f>
        <v>0</v>
      </c>
      <c r="O15" s="605">
        <f>'5b-Initial Cost (2)'!H35</f>
        <v>0</v>
      </c>
      <c r="Q15" s="604" t="s">
        <v>346</v>
      </c>
      <c r="R15" s="606" t="e">
        <f>L15/MIN($L$15:$N$15)</f>
        <v>#DIV/0!</v>
      </c>
      <c r="S15" s="606" t="e">
        <f>M15/MIN($L$15:$N$15)</f>
        <v>#DIV/0!</v>
      </c>
      <c r="T15" s="606" t="e">
        <f>N15/MIN($L$15:$N$15)</f>
        <v>#DIV/0!</v>
      </c>
      <c r="U15" s="607" t="e">
        <f>O15/MIN($L$15:$N$15)</f>
        <v>#DIV/0!</v>
      </c>
    </row>
    <row r="16" spans="1:21" ht="18" customHeight="1">
      <c r="A16" s="570"/>
      <c r="B16" s="865" t="s">
        <v>390</v>
      </c>
      <c r="C16" s="868"/>
      <c r="D16" s="869"/>
      <c r="E16" s="599">
        <v>20</v>
      </c>
      <c r="F16" s="600">
        <v>600</v>
      </c>
      <c r="G16" s="601">
        <f t="shared" ref="G16:G27" si="0">(1/(1+$D$4/100)^(E16)*1)</f>
        <v>0.34272896332894381</v>
      </c>
      <c r="H16" s="602">
        <f t="shared" ref="H16:H23" si="1">F16*G16</f>
        <v>205.63737799736629</v>
      </c>
      <c r="I16" s="603"/>
      <c r="K16" s="604" t="s">
        <v>347</v>
      </c>
      <c r="L16" s="378">
        <f>H35</f>
        <v>306.27986244400887</v>
      </c>
      <c r="M16" s="378">
        <f>I35</f>
        <v>94.091153257846912</v>
      </c>
      <c r="N16" s="378">
        <f>'5d-Life Cycle Cost (2)'!H35</f>
        <v>0</v>
      </c>
      <c r="O16" s="608">
        <f>'5d-Life Cycle Cost (2)'!I13</f>
        <v>0</v>
      </c>
      <c r="Q16" s="604" t="s">
        <v>347</v>
      </c>
      <c r="R16" s="606" t="e">
        <f>L16/MIN($L$16:$N$16)</f>
        <v>#DIV/0!</v>
      </c>
      <c r="S16" s="606" t="e">
        <f>M16/MIN($L$16:$N$16)</f>
        <v>#DIV/0!</v>
      </c>
      <c r="T16" s="606" t="e">
        <f>N16/MIN($L$16:$N$16)</f>
        <v>#DIV/0!</v>
      </c>
      <c r="U16" s="609" t="e">
        <f>O16/MIN($L$16:$N$16)</f>
        <v>#DIV/0!</v>
      </c>
    </row>
    <row r="17" spans="1:21" ht="18" customHeight="1">
      <c r="A17" s="570"/>
      <c r="B17" s="865"/>
      <c r="C17" s="866"/>
      <c r="D17" s="867"/>
      <c r="E17" s="599">
        <v>40</v>
      </c>
      <c r="F17" s="600">
        <f>F16</f>
        <v>600</v>
      </c>
      <c r="G17" s="601">
        <f t="shared" si="0"/>
        <v>0.1174631423045325</v>
      </c>
      <c r="H17" s="602">
        <f t="shared" si="1"/>
        <v>70.477885382719506</v>
      </c>
      <c r="I17" s="603"/>
      <c r="K17" s="604" t="s">
        <v>348</v>
      </c>
      <c r="L17" s="378">
        <f>$I$36</f>
        <v>0</v>
      </c>
      <c r="M17" s="378">
        <f>'5d-Life Cycle Cost (2)'!$H$36</f>
        <v>0</v>
      </c>
      <c r="N17" s="378">
        <f>'5d-Life Cycle Cost (2)'!$I$36</f>
        <v>0</v>
      </c>
      <c r="O17" s="608">
        <f>$H$36</f>
        <v>0</v>
      </c>
      <c r="Q17" s="604" t="s">
        <v>348</v>
      </c>
      <c r="R17" s="606" t="e">
        <f>L17/MIN($L$17:$N$17)</f>
        <v>#DIV/0!</v>
      </c>
      <c r="S17" s="606" t="e">
        <f>M17/MIN($L$17:$N$17)</f>
        <v>#DIV/0!</v>
      </c>
      <c r="T17" s="606" t="e">
        <f>N17/MIN($L$17:$N$17)</f>
        <v>#DIV/0!</v>
      </c>
      <c r="U17" s="609" t="e">
        <f>O17/MIN($L$17:$N$17)</f>
        <v>#DIV/0!</v>
      </c>
    </row>
    <row r="18" spans="1:21" ht="18" customHeight="1" thickBot="1">
      <c r="A18" s="570"/>
      <c r="B18" s="865" t="s">
        <v>392</v>
      </c>
      <c r="C18" s="866"/>
      <c r="D18" s="867"/>
      <c r="E18" s="599">
        <v>50</v>
      </c>
      <c r="F18" s="600">
        <v>-300</v>
      </c>
      <c r="G18" s="601">
        <f t="shared" si="0"/>
        <v>6.8766515460729941E-2</v>
      </c>
      <c r="H18" s="602">
        <f t="shared" si="1"/>
        <v>-20.629954638218983</v>
      </c>
      <c r="I18" s="603"/>
      <c r="K18" s="610" t="s">
        <v>119</v>
      </c>
      <c r="L18" s="611">
        <f>SUM(L15:L17)</f>
        <v>1796.3898624440087</v>
      </c>
      <c r="M18" s="611">
        <f>SUM(M15:M17)</f>
        <v>1610.2011532578467</v>
      </c>
      <c r="N18" s="611">
        <f>SUM(N15:N17)</f>
        <v>0</v>
      </c>
      <c r="O18" s="612">
        <f>SUM(O15:O17)</f>
        <v>0</v>
      </c>
      <c r="Q18" s="610" t="s">
        <v>116</v>
      </c>
      <c r="R18" s="613" t="e">
        <f>L18/MIN($L$18:$N$18)</f>
        <v>#DIV/0!</v>
      </c>
      <c r="S18" s="613" t="e">
        <f>M18/MIN($L$18:$N$18)</f>
        <v>#DIV/0!</v>
      </c>
      <c r="T18" s="613" t="e">
        <f>N18/MIN($L$18:$N$18)</f>
        <v>#DIV/0!</v>
      </c>
      <c r="U18" s="614" t="e">
        <f>O18/MIN($L$18:$N$18)</f>
        <v>#DIV/0!</v>
      </c>
    </row>
    <row r="19" spans="1:21" ht="18" customHeight="1">
      <c r="A19" s="570"/>
      <c r="B19" s="865"/>
      <c r="C19" s="866"/>
      <c r="D19" s="867"/>
      <c r="E19" s="599"/>
      <c r="F19" s="600"/>
      <c r="G19" s="601">
        <f t="shared" si="0"/>
        <v>1</v>
      </c>
      <c r="H19" s="602">
        <f t="shared" si="1"/>
        <v>0</v>
      </c>
      <c r="I19" s="603"/>
    </row>
    <row r="20" spans="1:21" ht="18" customHeight="1">
      <c r="A20" s="570"/>
      <c r="B20" s="865"/>
      <c r="C20" s="866"/>
      <c r="D20" s="867"/>
      <c r="E20" s="599"/>
      <c r="F20" s="600"/>
      <c r="G20" s="601">
        <f t="shared" si="0"/>
        <v>1</v>
      </c>
      <c r="H20" s="602">
        <f t="shared" si="1"/>
        <v>0</v>
      </c>
      <c r="I20" s="603"/>
    </row>
    <row r="21" spans="1:21" ht="18" customHeight="1">
      <c r="A21" s="570"/>
      <c r="B21" s="865"/>
      <c r="C21" s="866"/>
      <c r="D21" s="867"/>
      <c r="E21" s="599"/>
      <c r="F21" s="600"/>
      <c r="G21" s="601">
        <f t="shared" si="0"/>
        <v>1</v>
      </c>
      <c r="H21" s="602">
        <f t="shared" si="1"/>
        <v>0</v>
      </c>
      <c r="I21" s="603"/>
    </row>
    <row r="22" spans="1:21" ht="18" customHeight="1">
      <c r="A22" s="570"/>
      <c r="B22" s="865"/>
      <c r="C22" s="866"/>
      <c r="D22" s="867"/>
      <c r="E22" s="599"/>
      <c r="F22" s="600"/>
      <c r="G22" s="601">
        <f t="shared" si="0"/>
        <v>1</v>
      </c>
      <c r="H22" s="602">
        <f t="shared" si="1"/>
        <v>0</v>
      </c>
      <c r="I22" s="603"/>
    </row>
    <row r="23" spans="1:21" ht="18" customHeight="1">
      <c r="A23" s="570"/>
      <c r="B23" s="865"/>
      <c r="C23" s="868"/>
      <c r="D23" s="869"/>
      <c r="E23" s="599"/>
      <c r="F23" s="600"/>
      <c r="G23" s="601">
        <f t="shared" si="0"/>
        <v>1</v>
      </c>
      <c r="H23" s="602">
        <f t="shared" si="1"/>
        <v>0</v>
      </c>
      <c r="I23" s="603"/>
    </row>
    <row r="24" spans="1:21" ht="18" customHeight="1">
      <c r="A24" s="570"/>
      <c r="B24" s="865" t="s">
        <v>302</v>
      </c>
      <c r="C24" s="868"/>
      <c r="D24" s="869"/>
      <c r="E24" s="599"/>
      <c r="F24" s="600"/>
      <c r="G24" s="601">
        <f t="shared" si="0"/>
        <v>1</v>
      </c>
      <c r="H24" s="602"/>
      <c r="I24" s="603">
        <f t="shared" ref="I24:I30" si="2">F24*G24</f>
        <v>0</v>
      </c>
    </row>
    <row r="25" spans="1:21" ht="18" customHeight="1">
      <c r="A25" s="570"/>
      <c r="B25" s="865" t="s">
        <v>390</v>
      </c>
      <c r="C25" s="868"/>
      <c r="D25" s="869"/>
      <c r="E25" s="599">
        <v>40</v>
      </c>
      <c r="F25" s="600">
        <v>625</v>
      </c>
      <c r="G25" s="601">
        <f t="shared" si="0"/>
        <v>0.1174631423045325</v>
      </c>
      <c r="H25" s="602"/>
      <c r="I25" s="603">
        <f t="shared" si="2"/>
        <v>73.414463940332809</v>
      </c>
    </row>
    <row r="26" spans="1:21" ht="18" customHeight="1">
      <c r="A26" s="570"/>
      <c r="B26" s="865"/>
      <c r="C26" s="866"/>
      <c r="D26" s="867"/>
      <c r="E26" s="599"/>
      <c r="F26" s="600"/>
      <c r="G26" s="601">
        <f t="shared" si="0"/>
        <v>1</v>
      </c>
      <c r="H26" s="602"/>
      <c r="I26" s="603">
        <f t="shared" si="2"/>
        <v>0</v>
      </c>
    </row>
    <row r="27" spans="1:21" ht="18" customHeight="1">
      <c r="A27" s="570"/>
      <c r="B27" s="865" t="s">
        <v>392</v>
      </c>
      <c r="C27" s="866"/>
      <c r="D27" s="867"/>
      <c r="E27" s="599">
        <v>50</v>
      </c>
      <c r="F27" s="600">
        <f>-625/40*30</f>
        <v>-468.75</v>
      </c>
      <c r="G27" s="601">
        <f t="shared" si="0"/>
        <v>6.8766515460729941E-2</v>
      </c>
      <c r="H27" s="602"/>
      <c r="I27" s="603">
        <f t="shared" si="2"/>
        <v>-32.234304122217161</v>
      </c>
    </row>
    <row r="28" spans="1:21" ht="18" customHeight="1">
      <c r="A28" s="570"/>
      <c r="B28" s="865"/>
      <c r="C28" s="866"/>
      <c r="D28" s="867"/>
      <c r="E28" s="599"/>
      <c r="F28" s="600"/>
      <c r="G28" s="601">
        <f>(1/(1+$D$4/100)^(E28)*1)</f>
        <v>1</v>
      </c>
      <c r="H28" s="602"/>
      <c r="I28" s="603">
        <f t="shared" si="2"/>
        <v>0</v>
      </c>
    </row>
    <row r="29" spans="1:21" ht="18" customHeight="1">
      <c r="A29" s="570"/>
      <c r="B29" s="865"/>
      <c r="C29" s="866"/>
      <c r="D29" s="867"/>
      <c r="E29" s="599"/>
      <c r="F29" s="600"/>
      <c r="G29" s="601">
        <f>(1/(1+$D$4/100)^(E29)*1)</f>
        <v>1</v>
      </c>
      <c r="H29" s="602"/>
      <c r="I29" s="603">
        <f t="shared" si="2"/>
        <v>0</v>
      </c>
    </row>
    <row r="30" spans="1:21" ht="18" customHeight="1">
      <c r="A30" s="570"/>
      <c r="B30" s="865"/>
      <c r="C30" s="866"/>
      <c r="D30" s="867"/>
      <c r="E30" s="599"/>
      <c r="F30" s="600"/>
      <c r="G30" s="601">
        <f>(1/(1+$D$4/100)^(E30)*1)</f>
        <v>1</v>
      </c>
      <c r="H30" s="602"/>
      <c r="I30" s="603">
        <f t="shared" si="2"/>
        <v>0</v>
      </c>
    </row>
    <row r="31" spans="1:21" ht="18" customHeight="1">
      <c r="A31" s="570"/>
      <c r="B31" s="870"/>
      <c r="C31" s="868"/>
      <c r="D31" s="869"/>
      <c r="E31" s="599"/>
      <c r="F31" s="615"/>
      <c r="G31" s="601"/>
      <c r="H31" s="602"/>
      <c r="I31" s="603"/>
    </row>
    <row r="32" spans="1:21" ht="18" customHeight="1">
      <c r="A32" s="570"/>
      <c r="B32" s="870"/>
      <c r="C32" s="868"/>
      <c r="D32" s="869"/>
      <c r="E32" s="599"/>
      <c r="F32" s="615"/>
      <c r="G32" s="601"/>
      <c r="H32" s="602"/>
      <c r="I32" s="603"/>
    </row>
    <row r="33" spans="1:11" ht="18" customHeight="1">
      <c r="A33" s="570"/>
      <c r="B33" s="870"/>
      <c r="C33" s="868"/>
      <c r="D33" s="869"/>
      <c r="E33" s="599"/>
      <c r="F33" s="615"/>
      <c r="G33" s="601"/>
      <c r="H33" s="602"/>
      <c r="I33" s="603"/>
    </row>
    <row r="34" spans="1:11" ht="18" customHeight="1">
      <c r="A34" s="874" t="s">
        <v>103</v>
      </c>
      <c r="B34" s="862"/>
      <c r="C34" s="862"/>
      <c r="D34" s="862"/>
      <c r="E34" s="862"/>
      <c r="F34" s="862"/>
      <c r="G34" s="862"/>
      <c r="H34" s="576">
        <f>SUM(H15:H33)</f>
        <v>255.48530874186685</v>
      </c>
      <c r="I34" s="616">
        <f>SUM(I15:I33)</f>
        <v>41.180159818115648</v>
      </c>
    </row>
    <row r="35" spans="1:11" ht="18" customHeight="1">
      <c r="A35" s="617" t="s">
        <v>104</v>
      </c>
      <c r="B35" s="875" t="s">
        <v>105</v>
      </c>
      <c r="C35" s="864"/>
      <c r="D35" s="864"/>
      <c r="E35" s="864"/>
      <c r="F35" s="864"/>
      <c r="G35" s="864"/>
      <c r="H35" s="618">
        <f>+H34+H13</f>
        <v>306.27986244400887</v>
      </c>
      <c r="I35" s="619">
        <f>+I34+I13</f>
        <v>94.091153257846912</v>
      </c>
    </row>
    <row r="36" spans="1:11" ht="18" customHeight="1">
      <c r="A36" s="617" t="s">
        <v>106</v>
      </c>
      <c r="B36" s="620" t="s">
        <v>115</v>
      </c>
      <c r="C36" s="620"/>
      <c r="D36" s="414"/>
      <c r="E36" s="620"/>
      <c r="F36" s="620"/>
      <c r="G36" s="620"/>
      <c r="H36" s="621"/>
      <c r="I36" s="622"/>
    </row>
    <row r="37" spans="1:11" ht="18" customHeight="1">
      <c r="A37" s="617" t="s">
        <v>108</v>
      </c>
      <c r="B37" s="875" t="s">
        <v>109</v>
      </c>
      <c r="C37" s="876"/>
      <c r="D37" s="876"/>
      <c r="E37" s="876"/>
      <c r="F37" s="876"/>
      <c r="G37" s="876"/>
      <c r="H37" s="623">
        <f>+H5+H35+H36</f>
        <v>1796.3898624440087</v>
      </c>
      <c r="I37" s="624">
        <f>+I5+I35+I36</f>
        <v>1610.2011532578467</v>
      </c>
      <c r="K37" s="715"/>
    </row>
    <row r="38" spans="1:11" ht="18" customHeight="1" thickBot="1">
      <c r="A38" s="871" t="s">
        <v>110</v>
      </c>
      <c r="B38" s="872"/>
      <c r="C38" s="872"/>
      <c r="D38" s="872"/>
      <c r="E38" s="872"/>
      <c r="F38" s="872"/>
      <c r="G38" s="872"/>
      <c r="H38" s="873"/>
      <c r="I38" s="625">
        <f>H37-I37</f>
        <v>186.18870918616199</v>
      </c>
    </row>
    <row r="39" spans="1:11" ht="13.5">
      <c r="A39" s="626"/>
      <c r="B39" s="626"/>
      <c r="C39" s="626"/>
      <c r="D39" s="626"/>
      <c r="E39" s="626"/>
      <c r="F39" s="626"/>
      <c r="G39" s="626"/>
      <c r="H39" s="626"/>
      <c r="I39" s="626"/>
    </row>
    <row r="40" spans="1:11" ht="13.5">
      <c r="A40" s="626"/>
      <c r="B40" s="626"/>
      <c r="C40" s="626"/>
      <c r="D40" s="626"/>
      <c r="E40" s="626"/>
      <c r="F40" s="626"/>
      <c r="G40" s="626"/>
      <c r="H40" s="626"/>
      <c r="I40" s="626"/>
    </row>
    <row r="41" spans="1:11" ht="13.5">
      <c r="B41" s="377"/>
      <c r="C41" s="377"/>
      <c r="D41" s="377"/>
      <c r="E41" s="377"/>
      <c r="F41" s="377"/>
      <c r="G41" s="377"/>
      <c r="H41" s="627"/>
      <c r="I41" s="627"/>
    </row>
    <row r="42" spans="1:11" ht="13.5">
      <c r="B42" s="377"/>
      <c r="C42" s="377"/>
      <c r="D42" s="377"/>
      <c r="E42" s="377"/>
      <c r="F42" s="377"/>
      <c r="G42" s="377"/>
      <c r="H42" s="627"/>
      <c r="I42" s="627"/>
    </row>
    <row r="43" spans="1:11" ht="13.5">
      <c r="B43" s="377"/>
      <c r="C43" s="377"/>
      <c r="D43" s="377"/>
      <c r="E43" s="377"/>
      <c r="F43" s="377"/>
      <c r="G43" s="377"/>
      <c r="H43" s="627"/>
      <c r="I43" s="627"/>
    </row>
    <row r="44" spans="1:11" ht="13.5">
      <c r="B44" s="377"/>
      <c r="C44" s="377"/>
      <c r="D44" s="377"/>
      <c r="E44" s="377"/>
      <c r="F44" s="377"/>
      <c r="G44" s="377"/>
      <c r="H44" s="627"/>
      <c r="I44" s="627"/>
    </row>
    <row r="45" spans="1:11" ht="13.5">
      <c r="B45" s="377"/>
      <c r="C45" s="377"/>
      <c r="D45" s="377"/>
      <c r="E45" s="377"/>
      <c r="F45" s="377"/>
      <c r="G45" s="377"/>
      <c r="H45" s="628"/>
      <c r="I45" s="628"/>
    </row>
    <row r="46" spans="1:11" ht="13.5">
      <c r="B46" s="377"/>
      <c r="C46" s="377"/>
      <c r="D46" s="377"/>
      <c r="E46" s="377"/>
      <c r="F46" s="377"/>
      <c r="G46" s="377"/>
      <c r="H46" s="628"/>
      <c r="I46" s="628"/>
    </row>
    <row r="47" spans="1:11" ht="13.5">
      <c r="B47" s="377"/>
      <c r="C47" s="377"/>
      <c r="D47" s="377"/>
      <c r="E47" s="377"/>
      <c r="F47" s="377"/>
      <c r="G47" s="377"/>
      <c r="H47" s="377"/>
      <c r="I47" s="377"/>
    </row>
    <row r="48" spans="1:11" ht="13.5">
      <c r="B48" s="377"/>
      <c r="C48" s="377"/>
      <c r="D48" s="377"/>
      <c r="E48" s="377"/>
      <c r="F48" s="377"/>
      <c r="G48" s="377"/>
      <c r="H48" s="377"/>
      <c r="I48" s="377"/>
    </row>
    <row r="49" s="377" customFormat="1" ht="13.5"/>
    <row r="50" s="377" customFormat="1" ht="13.5"/>
    <row r="51" s="377" customFormat="1" ht="13.5"/>
    <row r="52" s="377" customFormat="1" ht="13.5"/>
    <row r="53" s="377" customFormat="1" ht="13.5"/>
    <row r="54" s="377" customFormat="1" ht="13.5"/>
    <row r="55" s="377" customFormat="1" ht="13.5"/>
    <row r="56" s="377" customFormat="1" ht="13.5"/>
    <row r="57" s="377" customFormat="1" ht="13.5"/>
    <row r="58" s="377" customFormat="1" ht="13.5"/>
    <row r="59" s="377" customFormat="1" ht="13.5"/>
    <row r="60" s="377" customFormat="1" ht="13.5"/>
    <row r="61" s="377" customFormat="1" ht="13.5"/>
    <row r="62" s="377" customFormat="1" ht="13.5"/>
    <row r="63" s="377" customFormat="1" ht="13.5"/>
    <row r="64" s="377" customFormat="1" ht="13.5"/>
    <row r="65" s="377" customFormat="1" ht="13.5"/>
    <row r="66" s="377" customFormat="1" ht="13.5"/>
    <row r="67" s="377" customFormat="1" ht="13.5"/>
    <row r="68" s="377" customFormat="1" ht="13.5"/>
    <row r="69" s="377" customFormat="1" ht="13.5"/>
    <row r="70" s="377" customFormat="1" ht="13.5"/>
    <row r="71" s="377" customFormat="1" ht="13.5"/>
    <row r="72" s="377" customFormat="1" ht="13.5"/>
    <row r="73" s="377" customFormat="1" ht="13.5"/>
    <row r="74" s="377" customFormat="1" ht="13.5"/>
    <row r="75" s="377" customFormat="1" ht="13.5"/>
    <row r="76" s="377" customFormat="1" ht="13.5"/>
    <row r="77" s="377" customFormat="1" ht="13.5"/>
    <row r="78" s="377" customFormat="1" ht="13.5"/>
    <row r="79" s="377" customFormat="1" ht="13.5"/>
    <row r="80" s="377" customFormat="1" ht="13.5"/>
    <row r="81" s="377" customFormat="1" ht="13.5"/>
    <row r="82" s="377" customFormat="1" ht="13.5"/>
    <row r="83" s="377" customFormat="1" ht="13.5"/>
    <row r="84" s="377" customFormat="1" ht="13.5"/>
    <row r="85" s="377" customFormat="1" ht="13.5"/>
    <row r="86" s="377" customFormat="1" ht="13.5"/>
    <row r="87" s="377" customFormat="1" ht="13.5"/>
    <row r="88" s="377" customFormat="1" ht="13.5"/>
    <row r="89" s="377" customFormat="1" ht="13.5"/>
    <row r="90" s="377" customFormat="1" ht="13.5"/>
    <row r="91" s="377" customFormat="1" ht="13.5"/>
    <row r="92" s="377" customFormat="1" ht="13.5"/>
    <row r="93" s="377" customFormat="1" ht="13.5"/>
    <row r="94" s="377" customFormat="1" ht="13.5"/>
    <row r="95" s="377" customFormat="1" ht="13.5"/>
    <row r="96" s="377" customFormat="1" ht="13.5"/>
    <row r="97" s="377" customFormat="1" ht="13.5"/>
    <row r="98" s="377" customFormat="1" ht="13.5"/>
    <row r="99" s="377" customFormat="1" ht="13.5"/>
    <row r="100" s="377" customFormat="1" ht="13.5"/>
    <row r="101" s="377" customFormat="1" ht="13.5"/>
    <row r="102" s="377" customFormat="1" ht="13.5"/>
    <row r="103" s="377" customFormat="1" ht="13.5"/>
    <row r="104" s="377" customFormat="1" ht="13.5"/>
    <row r="105" s="377" customFormat="1" ht="13.5"/>
    <row r="106" s="377" customFormat="1" ht="13.5"/>
    <row r="107" s="377" customFormat="1" ht="13.5"/>
    <row r="108" s="377" customFormat="1" ht="13.5"/>
    <row r="109" s="377" customFormat="1" ht="13.5"/>
    <row r="110" s="377" customFormat="1" ht="13.5"/>
    <row r="111" s="377" customFormat="1" ht="13.5"/>
    <row r="112" s="377" customFormat="1" ht="13.5"/>
    <row r="113" s="377" customFormat="1" ht="13.5"/>
    <row r="114" s="377" customFormat="1" ht="13.5"/>
    <row r="115" s="377" customFormat="1" ht="13.5"/>
    <row r="116" s="377" customFormat="1" ht="13.5"/>
    <row r="117" s="377" customFormat="1" ht="13.5"/>
    <row r="118" s="377" customFormat="1" ht="13.5"/>
    <row r="119" s="377" customFormat="1" ht="13.5"/>
    <row r="120" s="377" customFormat="1" ht="13.5"/>
    <row r="121" s="377" customFormat="1" ht="13.5"/>
    <row r="122" s="377" customFormat="1" ht="13.5"/>
    <row r="123" s="377" customFormat="1" ht="13.5"/>
    <row r="124" s="377" customFormat="1" ht="13.5"/>
    <row r="125" s="377" customFormat="1" ht="13.5"/>
    <row r="126" s="377" customFormat="1" ht="13.5"/>
    <row r="127" s="377" customFormat="1" ht="13.5"/>
    <row r="128" s="377" customFormat="1" ht="13.5"/>
    <row r="129" spans="2:9" ht="13.5">
      <c r="B129" s="377"/>
      <c r="C129" s="377"/>
      <c r="D129" s="377"/>
      <c r="E129" s="377"/>
      <c r="F129" s="377"/>
      <c r="G129" s="377"/>
      <c r="H129" s="377"/>
      <c r="I129" s="377"/>
    </row>
    <row r="130" spans="2:9" ht="13.5">
      <c r="B130" s="377"/>
      <c r="C130" s="377"/>
      <c r="D130" s="377"/>
      <c r="E130" s="377"/>
      <c r="F130" s="377"/>
      <c r="G130" s="377"/>
      <c r="H130" s="377"/>
      <c r="I130" s="377"/>
    </row>
    <row r="131" spans="2:9">
      <c r="H131" s="377"/>
      <c r="I131" s="377"/>
    </row>
  </sheetData>
  <mergeCells count="36">
    <mergeCell ref="A38:H38"/>
    <mergeCell ref="A34:G34"/>
    <mergeCell ref="B35:G35"/>
    <mergeCell ref="B37:G37"/>
    <mergeCell ref="B29:D29"/>
    <mergeCell ref="B33:D33"/>
    <mergeCell ref="B26:D26"/>
    <mergeCell ref="B28:D28"/>
    <mergeCell ref="B31:D31"/>
    <mergeCell ref="B32:D32"/>
    <mergeCell ref="B20:D20"/>
    <mergeCell ref="B30:D30"/>
    <mergeCell ref="B27:D27"/>
    <mergeCell ref="B22:D22"/>
    <mergeCell ref="B23:D23"/>
    <mergeCell ref="B25:D25"/>
    <mergeCell ref="B21:D21"/>
    <mergeCell ref="B24:D24"/>
    <mergeCell ref="B19:D19"/>
    <mergeCell ref="B18:D18"/>
    <mergeCell ref="B15:D15"/>
    <mergeCell ref="B17:D17"/>
    <mergeCell ref="B16:D16"/>
    <mergeCell ref="B9:G9"/>
    <mergeCell ref="B10:G10"/>
    <mergeCell ref="A13:G13"/>
    <mergeCell ref="B6:G6"/>
    <mergeCell ref="B7:G7"/>
    <mergeCell ref="B8:G8"/>
    <mergeCell ref="B11:G11"/>
    <mergeCell ref="A12:G12"/>
    <mergeCell ref="E3:G3"/>
    <mergeCell ref="B5:G5"/>
    <mergeCell ref="B4:C4"/>
    <mergeCell ref="E4:G4"/>
    <mergeCell ref="A1:I1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Footer>&amp;C&amp;"Times New Roman,보통"&amp;A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31"/>
  <sheetViews>
    <sheetView view="pageBreakPreview" zoomScale="115" zoomScaleNormal="100" zoomScaleSheetLayoutView="115" workbookViewId="0">
      <selection activeCell="B21" sqref="B21:D21"/>
    </sheetView>
  </sheetViews>
  <sheetFormatPr defaultRowHeight="15.75"/>
  <cols>
    <col min="1" max="1" width="3" style="37" customWidth="1"/>
    <col min="2" max="3" width="8.88671875" style="28"/>
    <col min="4" max="4" width="11.21875" style="28" customWidth="1"/>
    <col min="5" max="5" width="4.77734375" style="28" customWidth="1"/>
    <col min="6" max="6" width="8.77734375" style="28" customWidth="1"/>
    <col min="7" max="7" width="7" style="28" customWidth="1"/>
    <col min="8" max="9" width="10.77734375" style="28" customWidth="1"/>
    <col min="10" max="10" width="8.88671875" style="37"/>
    <col min="11" max="11" width="7.21875" style="37" customWidth="1"/>
    <col min="12" max="16384" width="8.88671875" style="37"/>
  </cols>
  <sheetData>
    <row r="1" spans="1:9" ht="24" customHeight="1">
      <c r="A1" s="749" t="s">
        <v>84</v>
      </c>
      <c r="B1" s="784"/>
      <c r="C1" s="784"/>
      <c r="D1" s="784"/>
      <c r="E1" s="784"/>
      <c r="F1" s="784"/>
      <c r="G1" s="784"/>
      <c r="H1" s="784"/>
      <c r="I1" s="750"/>
    </row>
    <row r="2" spans="1:9" ht="24" customHeight="1">
      <c r="A2" s="297"/>
      <c r="B2" s="275" t="str">
        <f>'1a-Performance'!A2</f>
        <v xml:space="preserve">VE Title : </v>
      </c>
      <c r="C2" s="239" t="str">
        <f>'1a-Performance'!B2</f>
        <v>포장두께</v>
      </c>
      <c r="D2" s="33"/>
      <c r="E2" s="33"/>
      <c r="F2" s="33"/>
      <c r="G2" s="33"/>
      <c r="H2" s="85"/>
      <c r="I2" s="276"/>
    </row>
    <row r="3" spans="1:9" ht="18" customHeight="1">
      <c r="A3" s="277"/>
      <c r="B3" s="278" t="s">
        <v>85</v>
      </c>
      <c r="C3" s="279"/>
      <c r="D3" s="124">
        <f>'5c-Life Cycle Cost (1)'!D3</f>
        <v>50</v>
      </c>
      <c r="E3" s="895" t="s">
        <v>86</v>
      </c>
      <c r="F3" s="895"/>
      <c r="G3" s="895"/>
      <c r="H3" s="280" t="s">
        <v>122</v>
      </c>
      <c r="I3" s="281" t="s">
        <v>123</v>
      </c>
    </row>
    <row r="4" spans="1:9" ht="18" customHeight="1">
      <c r="A4" s="282"/>
      <c r="B4" s="893" t="s">
        <v>87</v>
      </c>
      <c r="C4" s="894"/>
      <c r="D4" s="286">
        <f>'5c-Life Cycle Cost (1)'!D4</f>
        <v>5.5</v>
      </c>
      <c r="E4" s="894" t="s">
        <v>88</v>
      </c>
      <c r="F4" s="894"/>
      <c r="G4" s="894"/>
      <c r="H4" s="361">
        <f>'4c-Rating Rationale (3)'!D2</f>
        <v>0</v>
      </c>
      <c r="I4" s="362">
        <f>'4d-Rating Rationale (4)'!D2</f>
        <v>0</v>
      </c>
    </row>
    <row r="5" spans="1:9" ht="18" customHeight="1">
      <c r="A5" s="283" t="s">
        <v>89</v>
      </c>
      <c r="B5" s="898" t="s">
        <v>90</v>
      </c>
      <c r="C5" s="899"/>
      <c r="D5" s="899"/>
      <c r="E5" s="899"/>
      <c r="F5" s="899"/>
      <c r="G5" s="899"/>
      <c r="H5" s="372">
        <f>'5b-Initial Cost (2)'!E35</f>
        <v>0</v>
      </c>
      <c r="I5" s="373">
        <f>'5b-Initial Cost (2)'!H35</f>
        <v>0</v>
      </c>
    </row>
    <row r="6" spans="1:9" ht="18" customHeight="1">
      <c r="A6" s="282"/>
      <c r="B6" s="900" t="s">
        <v>91</v>
      </c>
      <c r="C6" s="901"/>
      <c r="D6" s="901"/>
      <c r="E6" s="901"/>
      <c r="F6" s="901"/>
      <c r="G6" s="901"/>
      <c r="H6" s="357">
        <f>'5a-Initial Cost (1)'!E35-'5b-Initial Cost (2)'!E35</f>
        <v>1490.11</v>
      </c>
      <c r="I6" s="374">
        <f>'5c-Life Cycle Cost (1)'!H5-I5</f>
        <v>1490.11</v>
      </c>
    </row>
    <row r="7" spans="1:9" ht="18" customHeight="1">
      <c r="A7" s="283" t="s">
        <v>92</v>
      </c>
      <c r="B7" s="898" t="s">
        <v>93</v>
      </c>
      <c r="C7" s="899"/>
      <c r="D7" s="899"/>
      <c r="E7" s="899"/>
      <c r="F7" s="899"/>
      <c r="G7" s="899"/>
      <c r="H7" s="287"/>
      <c r="I7" s="288"/>
    </row>
    <row r="8" spans="1:9" ht="18" customHeight="1">
      <c r="A8" s="106"/>
      <c r="B8" s="902" t="s">
        <v>313</v>
      </c>
      <c r="C8" s="903"/>
      <c r="D8" s="903"/>
      <c r="E8" s="903"/>
      <c r="F8" s="903"/>
      <c r="G8" s="903"/>
      <c r="H8" s="298"/>
      <c r="I8" s="299"/>
    </row>
    <row r="9" spans="1:9" ht="18" customHeight="1">
      <c r="A9" s="106"/>
      <c r="B9" s="902" t="s">
        <v>124</v>
      </c>
      <c r="C9" s="903"/>
      <c r="D9" s="903"/>
      <c r="E9" s="903"/>
      <c r="F9" s="903"/>
      <c r="G9" s="903"/>
      <c r="H9" s="298"/>
      <c r="I9" s="299"/>
    </row>
    <row r="10" spans="1:9" ht="18" customHeight="1">
      <c r="A10" s="106"/>
      <c r="B10" s="902" t="s">
        <v>125</v>
      </c>
      <c r="C10" s="903"/>
      <c r="D10" s="903"/>
      <c r="E10" s="903"/>
      <c r="F10" s="903"/>
      <c r="G10" s="903"/>
      <c r="H10" s="298"/>
      <c r="I10" s="299"/>
    </row>
    <row r="11" spans="1:9" ht="18" customHeight="1">
      <c r="A11" s="149"/>
      <c r="B11" s="900" t="s">
        <v>94</v>
      </c>
      <c r="C11" s="884"/>
      <c r="D11" s="884"/>
      <c r="E11" s="884"/>
      <c r="F11" s="884"/>
      <c r="G11" s="884"/>
      <c r="H11" s="368">
        <f>SUM(H8:H10)</f>
        <v>0</v>
      </c>
      <c r="I11" s="300">
        <f>SUM(I8:I10)</f>
        <v>0</v>
      </c>
    </row>
    <row r="12" spans="1:9" ht="18" customHeight="1">
      <c r="A12" s="904" t="s">
        <v>95</v>
      </c>
      <c r="B12" s="886"/>
      <c r="C12" s="886"/>
      <c r="D12" s="886"/>
      <c r="E12" s="886"/>
      <c r="F12" s="886"/>
      <c r="G12" s="886"/>
      <c r="H12" s="110">
        <f>PV(D4*0.01,D3,-1)</f>
        <v>16.931517900714002</v>
      </c>
      <c r="I12" s="109">
        <f>PV(D4*0.01,D3,-1)</f>
        <v>16.931517900714002</v>
      </c>
    </row>
    <row r="13" spans="1:9" ht="18" customHeight="1">
      <c r="A13" s="896" t="s">
        <v>96</v>
      </c>
      <c r="B13" s="897"/>
      <c r="C13" s="897"/>
      <c r="D13" s="897"/>
      <c r="E13" s="897"/>
      <c r="F13" s="897"/>
      <c r="G13" s="897"/>
      <c r="H13" s="366">
        <f>H11*H12</f>
        <v>0</v>
      </c>
      <c r="I13" s="367">
        <f>I11*I12</f>
        <v>0</v>
      </c>
    </row>
    <row r="14" spans="1:9" ht="18" customHeight="1">
      <c r="A14" s="283" t="s">
        <v>97</v>
      </c>
      <c r="B14" s="284" t="s">
        <v>98</v>
      </c>
      <c r="C14" s="285"/>
      <c r="D14" s="285"/>
      <c r="E14" s="289" t="s">
        <v>99</v>
      </c>
      <c r="F14" s="290" t="s">
        <v>100</v>
      </c>
      <c r="G14" s="291" t="s">
        <v>101</v>
      </c>
      <c r="H14" s="290" t="s">
        <v>102</v>
      </c>
      <c r="I14" s="292" t="s">
        <v>102</v>
      </c>
    </row>
    <row r="15" spans="1:9" ht="18" customHeight="1">
      <c r="A15" s="106"/>
      <c r="B15" s="877" t="s">
        <v>303</v>
      </c>
      <c r="C15" s="891"/>
      <c r="D15" s="892"/>
      <c r="E15" s="293"/>
      <c r="F15" s="358"/>
      <c r="G15" s="294">
        <f>(1/(1+$D$4/100)^(E15)*1)</f>
        <v>1</v>
      </c>
      <c r="H15" s="359">
        <f>F15*G15</f>
        <v>0</v>
      </c>
      <c r="I15" s="111"/>
    </row>
    <row r="16" spans="1:9" ht="18" customHeight="1">
      <c r="A16" s="106"/>
      <c r="B16" s="877" t="s">
        <v>307</v>
      </c>
      <c r="C16" s="891"/>
      <c r="D16" s="892"/>
      <c r="E16" s="293"/>
      <c r="F16" s="358"/>
      <c r="G16" s="294">
        <f t="shared" ref="G16:G30" si="0">(1/(1+$D$4/100)^(E16)*1)</f>
        <v>1</v>
      </c>
      <c r="H16" s="359">
        <f t="shared" ref="H16:H23" si="1">F16*G16</f>
        <v>0</v>
      </c>
      <c r="I16" s="111"/>
    </row>
    <row r="17" spans="1:9" ht="18" customHeight="1">
      <c r="A17" s="106"/>
      <c r="B17" s="877" t="s">
        <v>308</v>
      </c>
      <c r="C17" s="878"/>
      <c r="D17" s="879"/>
      <c r="E17" s="293"/>
      <c r="F17" s="358"/>
      <c r="G17" s="294">
        <f t="shared" si="0"/>
        <v>1</v>
      </c>
      <c r="H17" s="359">
        <f t="shared" si="1"/>
        <v>0</v>
      </c>
      <c r="I17" s="111"/>
    </row>
    <row r="18" spans="1:9" ht="18" customHeight="1">
      <c r="A18" s="106"/>
      <c r="B18" s="877" t="s">
        <v>309</v>
      </c>
      <c r="C18" s="878"/>
      <c r="D18" s="879"/>
      <c r="E18" s="293"/>
      <c r="F18" s="358"/>
      <c r="G18" s="294">
        <f t="shared" si="0"/>
        <v>1</v>
      </c>
      <c r="H18" s="359">
        <f t="shared" si="1"/>
        <v>0</v>
      </c>
      <c r="I18" s="111"/>
    </row>
    <row r="19" spans="1:9" ht="18" customHeight="1">
      <c r="A19" s="106"/>
      <c r="B19" s="877" t="s">
        <v>310</v>
      </c>
      <c r="C19" s="878"/>
      <c r="D19" s="879"/>
      <c r="E19" s="293"/>
      <c r="F19" s="358"/>
      <c r="G19" s="294">
        <f t="shared" si="0"/>
        <v>1</v>
      </c>
      <c r="H19" s="359">
        <f t="shared" si="1"/>
        <v>0</v>
      </c>
      <c r="I19" s="111"/>
    </row>
    <row r="20" spans="1:9" ht="18" customHeight="1">
      <c r="A20" s="106"/>
      <c r="B20" s="877" t="s">
        <v>311</v>
      </c>
      <c r="C20" s="878"/>
      <c r="D20" s="879"/>
      <c r="E20" s="293"/>
      <c r="F20" s="358"/>
      <c r="G20" s="294">
        <f t="shared" si="0"/>
        <v>1</v>
      </c>
      <c r="H20" s="359">
        <f t="shared" si="1"/>
        <v>0</v>
      </c>
      <c r="I20" s="111"/>
    </row>
    <row r="21" spans="1:9" ht="18" customHeight="1">
      <c r="A21" s="106"/>
      <c r="B21" s="877" t="s">
        <v>312</v>
      </c>
      <c r="C21" s="878"/>
      <c r="D21" s="879"/>
      <c r="E21" s="293"/>
      <c r="F21" s="358"/>
      <c r="G21" s="294">
        <f t="shared" si="0"/>
        <v>1</v>
      </c>
      <c r="H21" s="359">
        <f t="shared" si="1"/>
        <v>0</v>
      </c>
      <c r="I21" s="301"/>
    </row>
    <row r="22" spans="1:9" ht="18" customHeight="1">
      <c r="A22" s="106"/>
      <c r="B22" s="877"/>
      <c r="C22" s="891"/>
      <c r="D22" s="892"/>
      <c r="E22" s="293"/>
      <c r="F22" s="358"/>
      <c r="G22" s="294">
        <f t="shared" si="0"/>
        <v>1</v>
      </c>
      <c r="H22" s="359">
        <f t="shared" si="1"/>
        <v>0</v>
      </c>
      <c r="I22" s="301"/>
    </row>
    <row r="23" spans="1:9" ht="18" customHeight="1">
      <c r="A23" s="106"/>
      <c r="B23" s="877"/>
      <c r="C23" s="891"/>
      <c r="D23" s="892"/>
      <c r="E23" s="293"/>
      <c r="F23" s="358"/>
      <c r="G23" s="294">
        <f t="shared" si="0"/>
        <v>1</v>
      </c>
      <c r="H23" s="359">
        <f t="shared" si="1"/>
        <v>0</v>
      </c>
      <c r="I23" s="301"/>
    </row>
    <row r="24" spans="1:9" ht="18" customHeight="1">
      <c r="A24" s="106"/>
      <c r="B24" s="877" t="s">
        <v>304</v>
      </c>
      <c r="C24" s="891"/>
      <c r="D24" s="892"/>
      <c r="E24" s="293"/>
      <c r="F24" s="358"/>
      <c r="G24" s="294">
        <f t="shared" si="0"/>
        <v>1</v>
      </c>
      <c r="H24" s="359"/>
      <c r="I24" s="365">
        <f>F24*G24</f>
        <v>0</v>
      </c>
    </row>
    <row r="25" spans="1:9" ht="18" customHeight="1">
      <c r="A25" s="106"/>
      <c r="B25" s="877" t="s">
        <v>307</v>
      </c>
      <c r="C25" s="891"/>
      <c r="D25" s="892"/>
      <c r="E25" s="293"/>
      <c r="F25" s="358"/>
      <c r="G25" s="294">
        <f t="shared" si="0"/>
        <v>1</v>
      </c>
      <c r="H25" s="359"/>
      <c r="I25" s="365">
        <f t="shared" ref="I25:I30" si="2">F25*G25</f>
        <v>0</v>
      </c>
    </row>
    <row r="26" spans="1:9" ht="18" customHeight="1">
      <c r="A26" s="106"/>
      <c r="B26" s="877" t="s">
        <v>308</v>
      </c>
      <c r="C26" s="878"/>
      <c r="D26" s="879"/>
      <c r="E26" s="293"/>
      <c r="F26" s="358"/>
      <c r="G26" s="294">
        <f t="shared" si="0"/>
        <v>1</v>
      </c>
      <c r="H26" s="359"/>
      <c r="I26" s="365">
        <f t="shared" si="2"/>
        <v>0</v>
      </c>
    </row>
    <row r="27" spans="1:9" ht="18" customHeight="1">
      <c r="A27" s="106"/>
      <c r="B27" s="877" t="s">
        <v>309</v>
      </c>
      <c r="C27" s="878"/>
      <c r="D27" s="879"/>
      <c r="E27" s="293"/>
      <c r="F27" s="358"/>
      <c r="G27" s="294">
        <f t="shared" si="0"/>
        <v>1</v>
      </c>
      <c r="H27" s="359"/>
      <c r="I27" s="365">
        <f t="shared" si="2"/>
        <v>0</v>
      </c>
    </row>
    <row r="28" spans="1:9" ht="18" customHeight="1">
      <c r="A28" s="106"/>
      <c r="B28" s="877" t="s">
        <v>310</v>
      </c>
      <c r="C28" s="878"/>
      <c r="D28" s="879"/>
      <c r="E28" s="293"/>
      <c r="F28" s="358"/>
      <c r="G28" s="294">
        <f t="shared" si="0"/>
        <v>1</v>
      </c>
      <c r="H28" s="359"/>
      <c r="I28" s="365">
        <f t="shared" si="2"/>
        <v>0</v>
      </c>
    </row>
    <row r="29" spans="1:9" ht="18" customHeight="1">
      <c r="A29" s="106"/>
      <c r="B29" s="877" t="s">
        <v>311</v>
      </c>
      <c r="C29" s="878"/>
      <c r="D29" s="879"/>
      <c r="E29" s="293"/>
      <c r="F29" s="358"/>
      <c r="G29" s="294">
        <f t="shared" si="0"/>
        <v>1</v>
      </c>
      <c r="H29" s="359"/>
      <c r="I29" s="365">
        <f t="shared" si="2"/>
        <v>0</v>
      </c>
    </row>
    <row r="30" spans="1:9" ht="18" customHeight="1">
      <c r="A30" s="106"/>
      <c r="B30" s="877" t="s">
        <v>312</v>
      </c>
      <c r="C30" s="878"/>
      <c r="D30" s="879"/>
      <c r="E30" s="293"/>
      <c r="F30" s="358"/>
      <c r="G30" s="294">
        <f t="shared" si="0"/>
        <v>1</v>
      </c>
      <c r="H30" s="359"/>
      <c r="I30" s="365">
        <f t="shared" si="2"/>
        <v>0</v>
      </c>
    </row>
    <row r="31" spans="1:9" ht="18" customHeight="1">
      <c r="A31" s="106"/>
      <c r="B31" s="888"/>
      <c r="C31" s="889"/>
      <c r="D31" s="890"/>
      <c r="E31" s="293"/>
      <c r="F31" s="295"/>
      <c r="G31" s="294"/>
      <c r="H31" s="303"/>
      <c r="I31" s="302"/>
    </row>
    <row r="32" spans="1:9" ht="18" customHeight="1">
      <c r="A32" s="106"/>
      <c r="B32" s="888"/>
      <c r="C32" s="889"/>
      <c r="D32" s="890"/>
      <c r="E32" s="293"/>
      <c r="F32" s="295"/>
      <c r="G32" s="294"/>
      <c r="H32" s="303"/>
      <c r="I32" s="302"/>
    </row>
    <row r="33" spans="1:9" ht="18" customHeight="1">
      <c r="A33" s="106"/>
      <c r="B33" s="888"/>
      <c r="C33" s="889"/>
      <c r="D33" s="890"/>
      <c r="E33" s="293"/>
      <c r="F33" s="295"/>
      <c r="G33" s="294"/>
      <c r="H33" s="303"/>
      <c r="I33" s="302"/>
    </row>
    <row r="34" spans="1:9" ht="18" customHeight="1">
      <c r="A34" s="883" t="s">
        <v>103</v>
      </c>
      <c r="B34" s="884"/>
      <c r="C34" s="884"/>
      <c r="D34" s="884"/>
      <c r="E34" s="884"/>
      <c r="F34" s="884"/>
      <c r="G34" s="884"/>
      <c r="H34" s="357">
        <f>SUM(H15:H33)</f>
        <v>0</v>
      </c>
      <c r="I34" s="304">
        <f>SUM(I15:I33)</f>
        <v>0</v>
      </c>
    </row>
    <row r="35" spans="1:9" ht="18" customHeight="1">
      <c r="A35" s="107" t="s">
        <v>104</v>
      </c>
      <c r="B35" s="885" t="s">
        <v>105</v>
      </c>
      <c r="C35" s="886"/>
      <c r="D35" s="886"/>
      <c r="E35" s="886"/>
      <c r="F35" s="886"/>
      <c r="G35" s="886"/>
      <c r="H35" s="251">
        <f>+H34+H13</f>
        <v>0</v>
      </c>
      <c r="I35" s="112">
        <f>+I34+I13</f>
        <v>0</v>
      </c>
    </row>
    <row r="36" spans="1:9" ht="18" customHeight="1">
      <c r="A36" s="107" t="s">
        <v>106</v>
      </c>
      <c r="B36" s="296" t="s">
        <v>107</v>
      </c>
      <c r="C36" s="296"/>
      <c r="D36" s="305"/>
      <c r="E36" s="296"/>
      <c r="F36" s="296"/>
      <c r="G36" s="296"/>
      <c r="H36" s="117"/>
      <c r="I36" s="112"/>
    </row>
    <row r="37" spans="1:9" ht="18" customHeight="1">
      <c r="A37" s="107" t="s">
        <v>108</v>
      </c>
      <c r="B37" s="885" t="s">
        <v>109</v>
      </c>
      <c r="C37" s="887"/>
      <c r="D37" s="887"/>
      <c r="E37" s="887"/>
      <c r="F37" s="887"/>
      <c r="G37" s="887"/>
      <c r="H37" s="369">
        <f>+H5+H35+H36</f>
        <v>0</v>
      </c>
      <c r="I37" s="370">
        <f>+I5+I35+I36</f>
        <v>0</v>
      </c>
    </row>
    <row r="38" spans="1:9" ht="18" customHeight="1" thickBot="1">
      <c r="A38" s="880" t="s">
        <v>110</v>
      </c>
      <c r="B38" s="881"/>
      <c r="C38" s="881"/>
      <c r="D38" s="881"/>
      <c r="E38" s="881"/>
      <c r="F38" s="881"/>
      <c r="G38" s="881"/>
      <c r="H38" s="882"/>
      <c r="I38" s="371">
        <f>I37-'5c-Life Cycle Cost (1)'!I37</f>
        <v>-1610.2011532578467</v>
      </c>
    </row>
    <row r="39" spans="1:9" ht="12.75">
      <c r="A39" s="91"/>
      <c r="B39" s="91"/>
      <c r="C39" s="91"/>
      <c r="D39" s="91"/>
      <c r="E39" s="91"/>
      <c r="F39" s="91"/>
      <c r="G39" s="91"/>
      <c r="H39" s="91"/>
      <c r="I39" s="91"/>
    </row>
    <row r="40" spans="1:9" ht="12.75">
      <c r="A40" s="91"/>
      <c r="B40" s="91"/>
      <c r="C40" s="91"/>
      <c r="D40" s="91"/>
      <c r="E40" s="91"/>
      <c r="F40" s="91"/>
      <c r="G40" s="91"/>
      <c r="H40" s="91"/>
      <c r="I40" s="91"/>
    </row>
    <row r="41" spans="1:9" ht="12.75">
      <c r="B41" s="37"/>
      <c r="C41" s="37"/>
      <c r="D41" s="37"/>
      <c r="E41" s="37"/>
      <c r="F41" s="37"/>
      <c r="G41" s="37"/>
      <c r="H41" s="91"/>
      <c r="I41" s="91"/>
    </row>
    <row r="42" spans="1:9" ht="12.75">
      <c r="B42" s="37"/>
      <c r="C42" s="37"/>
      <c r="D42" s="37"/>
      <c r="E42" s="37"/>
      <c r="F42" s="37"/>
      <c r="G42" s="37"/>
      <c r="H42" s="37"/>
      <c r="I42" s="37"/>
    </row>
    <row r="43" spans="1:9" ht="12.75">
      <c r="B43" s="37"/>
      <c r="C43" s="37"/>
      <c r="D43" s="37"/>
      <c r="E43" s="37"/>
      <c r="F43" s="37"/>
      <c r="G43" s="37"/>
      <c r="H43" s="37"/>
      <c r="I43" s="37"/>
    </row>
    <row r="44" spans="1:9" ht="12.75">
      <c r="B44" s="37"/>
      <c r="C44" s="37"/>
      <c r="D44" s="37"/>
      <c r="E44" s="37"/>
      <c r="F44" s="37"/>
      <c r="G44" s="37"/>
      <c r="H44" s="37"/>
      <c r="I44" s="37"/>
    </row>
    <row r="45" spans="1:9" ht="12.75">
      <c r="B45" s="37"/>
      <c r="C45" s="37"/>
      <c r="D45" s="37"/>
      <c r="E45" s="37"/>
      <c r="F45" s="37"/>
      <c r="G45" s="37"/>
      <c r="H45" s="37"/>
      <c r="I45" s="37"/>
    </row>
    <row r="46" spans="1:9" ht="12.75">
      <c r="B46" s="37"/>
      <c r="C46" s="37"/>
      <c r="D46" s="37"/>
      <c r="E46" s="37"/>
      <c r="F46" s="37"/>
      <c r="G46" s="37"/>
      <c r="H46" s="37"/>
      <c r="I46" s="37"/>
    </row>
    <row r="47" spans="1:9" ht="12.75">
      <c r="B47" s="37"/>
      <c r="C47" s="37"/>
      <c r="D47" s="37"/>
      <c r="E47" s="37"/>
      <c r="F47" s="37"/>
      <c r="G47" s="37"/>
      <c r="H47" s="37"/>
      <c r="I47" s="37"/>
    </row>
    <row r="48" spans="1:9" ht="12.75">
      <c r="B48" s="37"/>
      <c r="C48" s="37"/>
      <c r="D48" s="37"/>
      <c r="E48" s="37"/>
      <c r="F48" s="37"/>
      <c r="G48" s="37"/>
      <c r="H48" s="37"/>
      <c r="I48" s="37"/>
    </row>
    <row r="49" s="37" customFormat="1" ht="12.75"/>
    <row r="50" s="37" customFormat="1" ht="12.75"/>
    <row r="51" s="37" customFormat="1" ht="12.75"/>
    <row r="52" s="37" customFormat="1" ht="12.75"/>
    <row r="53" s="37" customFormat="1" ht="12.75"/>
    <row r="54" s="37" customFormat="1" ht="12.75"/>
    <row r="55" s="37" customFormat="1" ht="12.75"/>
    <row r="56" s="37" customFormat="1" ht="12.75"/>
    <row r="57" s="37" customFormat="1" ht="12.75"/>
    <row r="58" s="37" customFormat="1" ht="12.75"/>
    <row r="59" s="37" customFormat="1" ht="12.75"/>
    <row r="60" s="37" customFormat="1" ht="12.75"/>
    <row r="61" s="37" customFormat="1" ht="12.75"/>
    <row r="62" s="37" customFormat="1" ht="12.75"/>
    <row r="63" s="37" customFormat="1" ht="12.75"/>
    <row r="64" s="37" customFormat="1" ht="12.75"/>
    <row r="65" s="37" customFormat="1" ht="12.75"/>
    <row r="66" s="37" customFormat="1" ht="12.75"/>
    <row r="67" s="37" customFormat="1" ht="12.75"/>
    <row r="68" s="37" customFormat="1" ht="12.75"/>
    <row r="69" s="37" customFormat="1" ht="12.75"/>
    <row r="70" s="37" customFormat="1" ht="12.75"/>
    <row r="71" s="37" customFormat="1" ht="12.75"/>
    <row r="72" s="37" customFormat="1" ht="12.75"/>
    <row r="73" s="37" customFormat="1" ht="12.75"/>
    <row r="74" s="37" customFormat="1" ht="12.75"/>
    <row r="75" s="37" customFormat="1" ht="12.75"/>
    <row r="76" s="37" customFormat="1" ht="12.75"/>
    <row r="77" s="37" customFormat="1" ht="12.75"/>
    <row r="78" s="37" customFormat="1" ht="12.75"/>
    <row r="79" s="37" customFormat="1" ht="12.75"/>
    <row r="80" s="37" customFormat="1" ht="12.75"/>
    <row r="81" s="37" customFormat="1" ht="12.75"/>
    <row r="82" s="37" customFormat="1" ht="12.75"/>
    <row r="83" s="37" customFormat="1" ht="12.75"/>
    <row r="84" s="37" customFormat="1" ht="12.75"/>
    <row r="85" s="37" customFormat="1" ht="12.75"/>
    <row r="86" s="37" customFormat="1" ht="12.75"/>
    <row r="87" s="37" customFormat="1" ht="12.75"/>
    <row r="88" s="37" customFormat="1" ht="12.75"/>
    <row r="89" s="37" customFormat="1" ht="12.75"/>
    <row r="90" s="37" customFormat="1" ht="12.75"/>
    <row r="91" s="37" customFormat="1" ht="12.75"/>
    <row r="92" s="37" customFormat="1" ht="12.75"/>
    <row r="93" s="37" customFormat="1" ht="12.75"/>
    <row r="94" s="37" customFormat="1" ht="12.75"/>
    <row r="95" s="37" customFormat="1" ht="12.75"/>
    <row r="96" s="37" customFormat="1" ht="12.75"/>
    <row r="97" s="37" customFormat="1" ht="12.75"/>
    <row r="98" s="37" customFormat="1" ht="12.75"/>
    <row r="99" s="37" customFormat="1" ht="12.75"/>
    <row r="100" s="37" customFormat="1" ht="12.75"/>
    <row r="101" s="37" customFormat="1" ht="12.75"/>
    <row r="102" s="37" customFormat="1" ht="12.75"/>
    <row r="103" s="37" customFormat="1" ht="12.75"/>
    <row r="104" s="37" customFormat="1" ht="12.75"/>
    <row r="105" s="37" customFormat="1" ht="12.75"/>
    <row r="106" s="37" customFormat="1" ht="12.75"/>
    <row r="107" s="37" customFormat="1" ht="12.75"/>
    <row r="108" s="37" customFormat="1" ht="12.75"/>
    <row r="109" s="37" customFormat="1" ht="12.75"/>
    <row r="110" s="37" customFormat="1" ht="12.75"/>
    <row r="111" s="37" customFormat="1" ht="12.75"/>
    <row r="112" s="37" customFormat="1" ht="12.75"/>
    <row r="113" s="37" customFormat="1" ht="12.75"/>
    <row r="114" s="37" customFormat="1" ht="12.75"/>
    <row r="115" s="37" customFormat="1" ht="12.75"/>
    <row r="116" s="37" customFormat="1" ht="12.75"/>
    <row r="117" s="37" customFormat="1" ht="12.75"/>
    <row r="118" s="37" customFormat="1" ht="12.75"/>
    <row r="119" s="37" customFormat="1" ht="12.75"/>
    <row r="120" s="37" customFormat="1" ht="12.75"/>
    <row r="121" s="37" customFormat="1" ht="12.75"/>
    <row r="122" s="37" customFormat="1" ht="12.75"/>
    <row r="123" s="37" customFormat="1" ht="12.75"/>
    <row r="124" s="37" customFormat="1" ht="12.75"/>
    <row r="125" s="37" customFormat="1" ht="12.75"/>
    <row r="126" s="37" customFormat="1" ht="12.75"/>
    <row r="127" s="37" customFormat="1" ht="12.75"/>
    <row r="128" s="37" customFormat="1" ht="12.75"/>
    <row r="129" spans="2:9" ht="12.75">
      <c r="B129" s="37"/>
      <c r="C129" s="37"/>
      <c r="D129" s="37"/>
      <c r="E129" s="37"/>
      <c r="F129" s="37"/>
      <c r="G129" s="37"/>
      <c r="H129" s="37"/>
      <c r="I129" s="37"/>
    </row>
    <row r="130" spans="2:9" ht="12.75">
      <c r="B130" s="37"/>
      <c r="C130" s="37"/>
      <c r="D130" s="37"/>
      <c r="E130" s="37"/>
      <c r="F130" s="37"/>
      <c r="G130" s="37"/>
      <c r="H130" s="37"/>
      <c r="I130" s="37"/>
    </row>
    <row r="131" spans="2:9">
      <c r="H131" s="37"/>
      <c r="I131" s="37"/>
    </row>
  </sheetData>
  <mergeCells count="36">
    <mergeCell ref="A1:I1"/>
    <mergeCell ref="B4:C4"/>
    <mergeCell ref="E4:G4"/>
    <mergeCell ref="E3:G3"/>
    <mergeCell ref="A13:G13"/>
    <mergeCell ref="B5:G5"/>
    <mergeCell ref="B6:G6"/>
    <mergeCell ref="B7:G7"/>
    <mergeCell ref="B8:G8"/>
    <mergeCell ref="B9:G9"/>
    <mergeCell ref="B10:G10"/>
    <mergeCell ref="B11:G11"/>
    <mergeCell ref="A12:G12"/>
    <mergeCell ref="B20:D20"/>
    <mergeCell ref="B15:D15"/>
    <mergeCell ref="B16:D16"/>
    <mergeCell ref="B17:D17"/>
    <mergeCell ref="B18:D18"/>
    <mergeCell ref="B19:D19"/>
    <mergeCell ref="B21:D21"/>
    <mergeCell ref="B22:D22"/>
    <mergeCell ref="B28:D28"/>
    <mergeCell ref="B25:D25"/>
    <mergeCell ref="B27:D27"/>
    <mergeCell ref="B26:D26"/>
    <mergeCell ref="B23:D23"/>
    <mergeCell ref="B24:D24"/>
    <mergeCell ref="B30:D30"/>
    <mergeCell ref="B29:D29"/>
    <mergeCell ref="A38:H38"/>
    <mergeCell ref="A34:G34"/>
    <mergeCell ref="B35:G35"/>
    <mergeCell ref="B37:G37"/>
    <mergeCell ref="B31:D31"/>
    <mergeCell ref="B33:D33"/>
    <mergeCell ref="B32:D32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26"/>
  <sheetViews>
    <sheetView view="pageBreakPreview" zoomScale="115" zoomScaleNormal="100" zoomScaleSheetLayoutView="115" workbookViewId="0">
      <selection activeCell="F4" sqref="F4"/>
    </sheetView>
  </sheetViews>
  <sheetFormatPr defaultRowHeight="15"/>
  <cols>
    <col min="1" max="6" width="8.77734375" style="33" customWidth="1"/>
    <col min="7" max="7" width="2.44140625" style="33" customWidth="1"/>
    <col min="8" max="13" width="8.77734375" style="33" customWidth="1"/>
    <col min="14" max="16384" width="8.88671875" style="33"/>
  </cols>
  <sheetData>
    <row r="1" spans="1:13" ht="30" customHeight="1">
      <c r="A1" s="749" t="s">
        <v>237</v>
      </c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50"/>
    </row>
    <row r="2" spans="1:13" ht="20.100000000000001" customHeight="1">
      <c r="A2" s="134" t="str">
        <f>'1a-Performance'!A2</f>
        <v xml:space="preserve">VE Title : </v>
      </c>
      <c r="B2" s="187" t="str">
        <f>'1a-Performance'!B2</f>
        <v>포장두께</v>
      </c>
      <c r="C2" s="326"/>
      <c r="D2" s="326"/>
      <c r="E2" s="326"/>
      <c r="F2" s="326"/>
      <c r="G2" s="326"/>
      <c r="H2" s="244"/>
      <c r="I2" s="244"/>
      <c r="J2" s="326"/>
      <c r="K2" s="326"/>
      <c r="L2" s="326"/>
      <c r="M2" s="327"/>
    </row>
    <row r="3" spans="1:13" ht="24.95" customHeight="1">
      <c r="A3" s="328" t="s">
        <v>243</v>
      </c>
      <c r="E3" s="315" t="s">
        <v>238</v>
      </c>
      <c r="F3" s="316">
        <v>100</v>
      </c>
      <c r="H3" s="329" t="s">
        <v>244</v>
      </c>
      <c r="L3" s="315" t="s">
        <v>239</v>
      </c>
      <c r="M3" s="317">
        <f>A8</f>
        <v>5.5E-2</v>
      </c>
    </row>
    <row r="4" spans="1:13" ht="22.5" customHeight="1">
      <c r="A4" s="905" t="s">
        <v>240</v>
      </c>
      <c r="B4" s="906"/>
      <c r="C4" s="306">
        <f>'4a-Rating Rationale (1)'!$C$1</f>
        <v>0</v>
      </c>
      <c r="D4" s="306">
        <f>'4b-Rating Rationale (2)'!$C$1</f>
        <v>0</v>
      </c>
      <c r="E4" s="306">
        <f>'4c-Rating Rationale (3)'!$C$1</f>
        <v>0</v>
      </c>
      <c r="F4" s="307">
        <f>'4d-Rating Rationale (4)'!$C$1</f>
        <v>0</v>
      </c>
      <c r="H4" s="907" t="s">
        <v>240</v>
      </c>
      <c r="I4" s="906"/>
      <c r="J4" s="306">
        <f>'4a-Rating Rationale (1)'!$C$1</f>
        <v>0</v>
      </c>
      <c r="K4" s="306">
        <f>'4b-Rating Rationale (2)'!$C$1</f>
        <v>0</v>
      </c>
      <c r="L4" s="306">
        <f>'4c-Rating Rationale (3)'!$C$1</f>
        <v>0</v>
      </c>
      <c r="M4" s="318">
        <f>'4d-Rating Rationale (4)'!$C$1</f>
        <v>0</v>
      </c>
    </row>
    <row r="5" spans="1:13" ht="22.5" customHeight="1">
      <c r="A5" s="319" t="s">
        <v>241</v>
      </c>
      <c r="B5" s="309" t="s">
        <v>236</v>
      </c>
      <c r="C5" s="310">
        <f>'5c-Life Cycle Cost (1)'!$H$13</f>
        <v>50.794553702142011</v>
      </c>
      <c r="D5" s="310">
        <f>'5c-Life Cycle Cost (1)'!$I$13</f>
        <v>52.910993439731257</v>
      </c>
      <c r="E5" s="310">
        <f>'5d-Life Cycle Cost (2)'!$H$13</f>
        <v>0</v>
      </c>
      <c r="F5" s="311">
        <f>'5d-Life Cycle Cost (2)'!$I$13</f>
        <v>0</v>
      </c>
      <c r="H5" s="308" t="s">
        <v>242</v>
      </c>
      <c r="I5" s="309" t="s">
        <v>236</v>
      </c>
      <c r="J5" s="310">
        <f>'5c-Life Cycle Cost (1)'!$H$13</f>
        <v>50.794553702142011</v>
      </c>
      <c r="K5" s="310">
        <f>'5c-Life Cycle Cost (1)'!$I$13</f>
        <v>52.910993439731257</v>
      </c>
      <c r="L5" s="310">
        <f>'5d-Life Cycle Cost (2)'!$H$13</f>
        <v>0</v>
      </c>
      <c r="M5" s="320">
        <f>'5d-Life Cycle Cost (2)'!$I$13</f>
        <v>0</v>
      </c>
    </row>
    <row r="6" spans="1:13" ht="22.5" customHeight="1">
      <c r="A6" s="321">
        <f>A8-0.02</f>
        <v>3.5000000000000003E-2</v>
      </c>
      <c r="B6" s="312">
        <f>PV(A6,$F$3,-1)</f>
        <v>27.655425402001256</v>
      </c>
      <c r="C6" s="313">
        <f>$C$5*B6</f>
        <v>1404.7449907375351</v>
      </c>
      <c r="D6" s="313">
        <f>$D$5*B6</f>
        <v>1463.2760320182656</v>
      </c>
      <c r="E6" s="313">
        <f>$E$5*B6</f>
        <v>0</v>
      </c>
      <c r="F6" s="313">
        <f>$F$5*B6</f>
        <v>0</v>
      </c>
      <c r="H6" s="314">
        <f>H8-10</f>
        <v>90</v>
      </c>
      <c r="I6" s="312">
        <f>PV($M$3,H6,-1)</f>
        <v>18.034953981975445</v>
      </c>
      <c r="J6" s="313">
        <f>$C$5*I6</f>
        <v>916.07743855311162</v>
      </c>
      <c r="K6" s="313">
        <f>$D$5*I6</f>
        <v>954.24733182615785</v>
      </c>
      <c r="L6" s="313">
        <f>$E$5*I6</f>
        <v>0</v>
      </c>
      <c r="M6" s="322">
        <f>$F$5*I6</f>
        <v>0</v>
      </c>
    </row>
    <row r="7" spans="1:13" ht="22.5" customHeight="1">
      <c r="A7" s="321">
        <f>A8-0.01</f>
        <v>4.4999999999999998E-2</v>
      </c>
      <c r="B7" s="312">
        <f>PV(A7,$F$3,-1)</f>
        <v>21.949852742321838</v>
      </c>
      <c r="C7" s="313">
        <f>$C$5*B7</f>
        <v>1114.9329738739757</v>
      </c>
      <c r="D7" s="313">
        <f>$D$5*B7</f>
        <v>1161.388514452058</v>
      </c>
      <c r="E7" s="313">
        <f>$E$5*B7</f>
        <v>0</v>
      </c>
      <c r="F7" s="313">
        <f>$F$5*B7</f>
        <v>0</v>
      </c>
      <c r="H7" s="314">
        <f>H8-5</f>
        <v>95</v>
      </c>
      <c r="I7" s="312">
        <f>PV($M$3,H7,-1)</f>
        <v>18.069447337169141</v>
      </c>
      <c r="J7" s="313">
        <f>$C$5*I7</f>
        <v>917.82951313586489</v>
      </c>
      <c r="K7" s="313">
        <f>$D$5*I7</f>
        <v>956.07240951652579</v>
      </c>
      <c r="L7" s="313">
        <f>$E$5*I7</f>
        <v>0</v>
      </c>
      <c r="M7" s="322">
        <f>$F$5*I7</f>
        <v>0</v>
      </c>
    </row>
    <row r="8" spans="1:13" ht="22.5" customHeight="1">
      <c r="A8" s="321">
        <f>'5c-Life Cycle Cost (1)'!D4*0.01</f>
        <v>5.5E-2</v>
      </c>
      <c r="B8" s="312">
        <f>PV(A8,$F$3,-1)</f>
        <v>18.095839388207075</v>
      </c>
      <c r="C8" s="313">
        <f>$C$5*B8</f>
        <v>919.17008558962095</v>
      </c>
      <c r="D8" s="313">
        <f>$D$5*B8</f>
        <v>957.46883915585499</v>
      </c>
      <c r="E8" s="313">
        <f>$E$5*B8</f>
        <v>0</v>
      </c>
      <c r="F8" s="313">
        <f>$F$5*B8</f>
        <v>0</v>
      </c>
      <c r="H8" s="314">
        <f>F3</f>
        <v>100</v>
      </c>
      <c r="I8" s="312">
        <f>PV($M$3,H8,-1)</f>
        <v>18.095839388207075</v>
      </c>
      <c r="J8" s="313">
        <f>$C$5*I8</f>
        <v>919.17008558962095</v>
      </c>
      <c r="K8" s="313">
        <f>$D$5*I8</f>
        <v>957.46883915585499</v>
      </c>
      <c r="L8" s="313">
        <f>$E$5*I8</f>
        <v>0</v>
      </c>
      <c r="M8" s="322">
        <f>$F$5*I8</f>
        <v>0</v>
      </c>
    </row>
    <row r="9" spans="1:13" ht="22.5" customHeight="1">
      <c r="A9" s="321">
        <f>A8+0.01</f>
        <v>6.5000000000000002E-2</v>
      </c>
      <c r="B9" s="312">
        <f>PV(A9,$F$3,-1)</f>
        <v>15.356293257615599</v>
      </c>
      <c r="C9" s="313">
        <f>$C$5*B9</f>
        <v>780.01606253979685</v>
      </c>
      <c r="D9" s="313">
        <f>$D$5*B9</f>
        <v>812.5167318122883</v>
      </c>
      <c r="E9" s="313">
        <f>$E$5*B9</f>
        <v>0</v>
      </c>
      <c r="F9" s="313">
        <f>$F$5*B9</f>
        <v>0</v>
      </c>
      <c r="H9" s="314">
        <f>H8+5</f>
        <v>105</v>
      </c>
      <c r="I9" s="312">
        <f>PV($M$3,H9,-1)</f>
        <v>18.116032853124523</v>
      </c>
      <c r="J9" s="313">
        <f>$C$5*I9</f>
        <v>920.19580362780255</v>
      </c>
      <c r="K9" s="313">
        <f>$D$5*I9</f>
        <v>958.53729544562759</v>
      </c>
      <c r="L9" s="313">
        <f>$E$5*I9</f>
        <v>0</v>
      </c>
      <c r="M9" s="322">
        <f>$F$5*I9</f>
        <v>0</v>
      </c>
    </row>
    <row r="10" spans="1:13" ht="22.5" customHeight="1">
      <c r="A10" s="321">
        <f>A8+0.02</f>
        <v>7.4999999999999997E-2</v>
      </c>
      <c r="B10" s="312">
        <f>PV(A10,$F$3,-1)</f>
        <v>13.323692994212964</v>
      </c>
      <c r="C10" s="313">
        <f>$C$5*B10</f>
        <v>676.77103930540363</v>
      </c>
      <c r="D10" s="313">
        <f>$D$5*B10</f>
        <v>704.96983260979539</v>
      </c>
      <c r="E10" s="313">
        <f>$E$5*B10</f>
        <v>0</v>
      </c>
      <c r="F10" s="313">
        <f>$F$5*B10</f>
        <v>0</v>
      </c>
      <c r="H10" s="314">
        <f>H8+10</f>
        <v>110</v>
      </c>
      <c r="I10" s="312">
        <f>PV($M$3,H10,-1)</f>
        <v>18.131483566855945</v>
      </c>
      <c r="J10" s="313">
        <f>$C$5*I10</f>
        <v>920.98061573616963</v>
      </c>
      <c r="K10" s="313">
        <f>$D$5*I10</f>
        <v>959.35480805851</v>
      </c>
      <c r="L10" s="313">
        <f>$E$5*I10</f>
        <v>0</v>
      </c>
      <c r="M10" s="322">
        <f>$F$5*I10</f>
        <v>0</v>
      </c>
    </row>
    <row r="11" spans="1:13">
      <c r="A11" s="102"/>
      <c r="M11" s="101"/>
    </row>
    <row r="12" spans="1:13">
      <c r="A12" s="102"/>
      <c r="M12" s="101"/>
    </row>
    <row r="13" spans="1:13">
      <c r="A13" s="102"/>
      <c r="M13" s="101"/>
    </row>
    <row r="14" spans="1:13">
      <c r="A14" s="102"/>
      <c r="M14" s="101"/>
    </row>
    <row r="15" spans="1:13">
      <c r="A15" s="102"/>
      <c r="M15" s="101"/>
    </row>
    <row r="16" spans="1:13">
      <c r="A16" s="102"/>
      <c r="M16" s="101"/>
    </row>
    <row r="17" spans="1:13">
      <c r="A17" s="102"/>
      <c r="M17" s="101"/>
    </row>
    <row r="18" spans="1:13">
      <c r="A18" s="102"/>
      <c r="M18" s="101"/>
    </row>
    <row r="19" spans="1:13">
      <c r="A19" s="102"/>
      <c r="M19" s="101"/>
    </row>
    <row r="20" spans="1:13">
      <c r="A20" s="102"/>
      <c r="M20" s="101"/>
    </row>
    <row r="21" spans="1:13">
      <c r="A21" s="102"/>
      <c r="M21" s="101"/>
    </row>
    <row r="22" spans="1:13">
      <c r="A22" s="102"/>
      <c r="M22" s="101"/>
    </row>
    <row r="23" spans="1:13">
      <c r="A23" s="102"/>
      <c r="M23" s="101"/>
    </row>
    <row r="24" spans="1:13">
      <c r="A24" s="102"/>
      <c r="M24" s="101"/>
    </row>
    <row r="25" spans="1:13">
      <c r="A25" s="102"/>
      <c r="M25" s="101"/>
    </row>
    <row r="26" spans="1:13" ht="20.25" customHeight="1" thickBot="1">
      <c r="A26" s="323"/>
      <c r="B26" s="324"/>
      <c r="C26" s="324"/>
      <c r="D26" s="324"/>
      <c r="E26" s="324"/>
      <c r="F26" s="324"/>
      <c r="G26" s="324"/>
      <c r="H26" s="324"/>
      <c r="I26" s="324"/>
      <c r="J26" s="324"/>
      <c r="K26" s="324"/>
      <c r="L26" s="324"/>
      <c r="M26" s="325"/>
    </row>
  </sheetData>
  <mergeCells count="3">
    <mergeCell ref="A4:B4"/>
    <mergeCell ref="H4:I4"/>
    <mergeCell ref="A1:M1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98"/>
  <sheetViews>
    <sheetView view="pageBreakPreview" zoomScale="115" zoomScaleNormal="115" zoomScaleSheetLayoutView="115" workbookViewId="0">
      <selection activeCell="C2" sqref="C2"/>
    </sheetView>
  </sheetViews>
  <sheetFormatPr defaultRowHeight="12"/>
  <cols>
    <col min="1" max="1" width="12.77734375" style="1" customWidth="1"/>
    <col min="2" max="2" width="20.77734375" style="1" customWidth="1"/>
    <col min="3" max="3" width="9.33203125" style="1" customWidth="1"/>
    <col min="4" max="7" width="7.77734375" style="1" customWidth="1"/>
    <col min="8" max="8" width="1.88671875" style="1" customWidth="1"/>
    <col min="9" max="16384" width="8.88671875" style="1"/>
  </cols>
  <sheetData>
    <row r="1" spans="1:7" ht="30" customHeight="1">
      <c r="A1" s="749" t="s">
        <v>114</v>
      </c>
      <c r="B1" s="784"/>
      <c r="C1" s="784"/>
      <c r="D1" s="784"/>
      <c r="E1" s="784"/>
      <c r="F1" s="784"/>
      <c r="G1" s="750"/>
    </row>
    <row r="2" spans="1:7" ht="20.100000000000001" customHeight="1">
      <c r="A2" s="240" t="str">
        <f>'1a-Performance'!A2:B2</f>
        <v xml:space="preserve">VE Title : </v>
      </c>
      <c r="B2" s="239" t="str">
        <f>'1a-Performance'!B2</f>
        <v>포장두께</v>
      </c>
      <c r="C2" s="37"/>
      <c r="D2" s="37"/>
      <c r="E2" s="37"/>
      <c r="F2" s="37"/>
      <c r="G2" s="100"/>
    </row>
    <row r="3" spans="1:7" ht="20.100000000000001" customHeight="1">
      <c r="A3" s="241" t="s">
        <v>245</v>
      </c>
      <c r="B3" s="242" t="s">
        <v>246</v>
      </c>
      <c r="C3" s="242"/>
      <c r="D3" s="242" t="s">
        <v>247</v>
      </c>
      <c r="E3" s="98"/>
      <c r="F3" s="98"/>
      <c r="G3" s="332"/>
    </row>
    <row r="4" spans="1:7" ht="20.100000000000001" customHeight="1">
      <c r="A4" s="330"/>
      <c r="B4" s="331"/>
      <c r="C4" s="331" t="s">
        <v>248</v>
      </c>
      <c r="D4" s="331" t="s">
        <v>249</v>
      </c>
      <c r="E4" s="331" t="s">
        <v>250</v>
      </c>
      <c r="F4" s="331" t="s">
        <v>251</v>
      </c>
      <c r="G4" s="333" t="s">
        <v>252</v>
      </c>
    </row>
    <row r="5" spans="1:7" ht="18.95" customHeight="1">
      <c r="A5" s="908" t="str">
        <f>'3a-Attribute Rating(A)'!B6</f>
        <v>시공성</v>
      </c>
      <c r="B5" s="41">
        <f>'1b-Sub-Performance'!A5</f>
        <v>0</v>
      </c>
      <c r="C5" s="64">
        <v>1</v>
      </c>
      <c r="D5" s="52">
        <f>'4a-Rating Rationale (1)'!D4</f>
        <v>5</v>
      </c>
      <c r="E5" s="52">
        <f>'4b-Rating Rationale (2)'!D4</f>
        <v>4</v>
      </c>
      <c r="F5" s="52">
        <f>'4c-Rating Rationale (3)'!D4</f>
        <v>0</v>
      </c>
      <c r="G5" s="42">
        <f>'4d-Rating Rationale (4)'!D4</f>
        <v>0</v>
      </c>
    </row>
    <row r="6" spans="1:7" ht="18.95" customHeight="1">
      <c r="A6" s="909"/>
      <c r="B6" s="43">
        <f>'1b-Sub-Performance'!A6</f>
        <v>0</v>
      </c>
      <c r="C6" s="65">
        <v>0</v>
      </c>
      <c r="D6" s="52">
        <f>'4a-Rating Rationale (1)'!D5</f>
        <v>0</v>
      </c>
      <c r="E6" s="52">
        <f>'4b-Rating Rationale (2)'!D5</f>
        <v>0</v>
      </c>
      <c r="F6" s="52">
        <f>'4c-Rating Rationale (3)'!D5</f>
        <v>0</v>
      </c>
      <c r="G6" s="42">
        <f>'4d-Rating Rationale (4)'!D5</f>
        <v>0</v>
      </c>
    </row>
    <row r="7" spans="1:7" ht="18.95" customHeight="1">
      <c r="A7" s="909"/>
      <c r="B7" s="43">
        <f>'1b-Sub-Performance'!A7</f>
        <v>0</v>
      </c>
      <c r="C7" s="65">
        <v>0</v>
      </c>
      <c r="D7" s="52">
        <f>'4a-Rating Rationale (1)'!D6</f>
        <v>0</v>
      </c>
      <c r="E7" s="52">
        <f>'4b-Rating Rationale (2)'!D6</f>
        <v>0</v>
      </c>
      <c r="F7" s="52">
        <f>'4c-Rating Rationale (3)'!D6</f>
        <v>0</v>
      </c>
      <c r="G7" s="42">
        <f>'4d-Rating Rationale (4)'!D6</f>
        <v>0</v>
      </c>
    </row>
    <row r="8" spans="1:7" ht="18.95" customHeight="1">
      <c r="A8" s="910"/>
      <c r="B8" s="56" t="s">
        <v>63</v>
      </c>
      <c r="C8" s="71">
        <f>SUM(C5:C7)</f>
        <v>1</v>
      </c>
      <c r="D8" s="71">
        <f>ROUND(SUMPRODUCT($C$5:$C$7,D5:D7),1)</f>
        <v>5</v>
      </c>
      <c r="E8" s="71">
        <f>ROUND(SUMPRODUCT($C$5:$C$7,E5:E7),1)</f>
        <v>4</v>
      </c>
      <c r="F8" s="71">
        <f>ROUND(SUMPRODUCT($C$5:$C$7,F5:F7),1)</f>
        <v>0</v>
      </c>
      <c r="G8" s="74">
        <f>ROUND(SUMPRODUCT($C$5:$C$7,G5:G7),1)</f>
        <v>0</v>
      </c>
    </row>
    <row r="9" spans="1:7" ht="18.95" customHeight="1">
      <c r="A9" s="911" t="str">
        <f>'3a-Attribute Rating(A)'!B7</f>
        <v>유지관리성</v>
      </c>
      <c r="B9" s="62">
        <f>'1b-Sub-Performance'!A11</f>
        <v>0</v>
      </c>
      <c r="C9" s="66">
        <v>1</v>
      </c>
      <c r="D9" s="57">
        <f>'4a-Rating Rationale (1)'!D8</f>
        <v>5</v>
      </c>
      <c r="E9" s="57">
        <f>'4b-Rating Rationale (2)'!D8</f>
        <v>6</v>
      </c>
      <c r="F9" s="57">
        <f>'4c-Rating Rationale (3)'!D8</f>
        <v>0</v>
      </c>
      <c r="G9" s="58">
        <f>'4d-Rating Rationale (4)'!D8</f>
        <v>0</v>
      </c>
    </row>
    <row r="10" spans="1:7" ht="18.95" customHeight="1">
      <c r="A10" s="912"/>
      <c r="B10" s="62">
        <f>'1b-Sub-Performance'!A12</f>
        <v>0</v>
      </c>
      <c r="C10" s="66">
        <v>0</v>
      </c>
      <c r="D10" s="57">
        <f>'4a-Rating Rationale (1)'!D9</f>
        <v>0</v>
      </c>
      <c r="E10" s="57">
        <f>'4b-Rating Rationale (2)'!D9</f>
        <v>0</v>
      </c>
      <c r="F10" s="57">
        <f>'4c-Rating Rationale (3)'!D9</f>
        <v>0</v>
      </c>
      <c r="G10" s="58">
        <f>'4d-Rating Rationale (4)'!D9</f>
        <v>0</v>
      </c>
    </row>
    <row r="11" spans="1:7" ht="18.95" customHeight="1">
      <c r="A11" s="912"/>
      <c r="B11" s="62"/>
      <c r="C11" s="67"/>
      <c r="D11" s="57"/>
      <c r="E11" s="57"/>
      <c r="F11" s="57"/>
      <c r="G11" s="58"/>
    </row>
    <row r="12" spans="1:7" ht="18.95" customHeight="1">
      <c r="A12" s="914"/>
      <c r="B12" s="59" t="s">
        <v>63</v>
      </c>
      <c r="C12" s="72">
        <f>SUM(C9:C11)</f>
        <v>1</v>
      </c>
      <c r="D12" s="113">
        <f>ROUND(SUMPRODUCT($C$9:$C$10,D9:D10),1)</f>
        <v>5</v>
      </c>
      <c r="E12" s="113">
        <f>ROUND(SUMPRODUCT($C$9:$C$10,E9:E10),1)</f>
        <v>6</v>
      </c>
      <c r="F12" s="113">
        <f>ROUND(SUMPRODUCT($C$9:$C$10,F9:F10),1)</f>
        <v>0</v>
      </c>
      <c r="G12" s="114">
        <f>ROUND(SUMPRODUCT($C$9:$C$10,G9:G10),1)</f>
        <v>0</v>
      </c>
    </row>
    <row r="13" spans="1:7" ht="18.95" customHeight="1">
      <c r="A13" s="908" t="str">
        <f>'3a-Attribute Rating(A)'!B8</f>
        <v>내구성</v>
      </c>
      <c r="B13" s="43">
        <f>'1b-Sub-Performance'!A17</f>
        <v>0</v>
      </c>
      <c r="C13" s="65">
        <v>1</v>
      </c>
      <c r="D13" s="53">
        <f>'4a-Rating Rationale (1)'!D12</f>
        <v>5</v>
      </c>
      <c r="E13" s="53">
        <f>'4b-Rating Rationale (2)'!D12</f>
        <v>10</v>
      </c>
      <c r="F13" s="53">
        <f>'4c-Rating Rationale (3)'!D12</f>
        <v>0</v>
      </c>
      <c r="G13" s="45">
        <f>'4d-Rating Rationale (4)'!D12</f>
        <v>0</v>
      </c>
    </row>
    <row r="14" spans="1:7" ht="18.95" customHeight="1">
      <c r="A14" s="909"/>
      <c r="B14" s="43">
        <f>'1b-Sub-Performance'!A18</f>
        <v>0</v>
      </c>
      <c r="C14" s="65">
        <v>0</v>
      </c>
      <c r="D14" s="53">
        <f>'4a-Rating Rationale (1)'!D13</f>
        <v>0</v>
      </c>
      <c r="E14" s="53">
        <f>'4b-Rating Rationale (2)'!D13</f>
        <v>0</v>
      </c>
      <c r="F14" s="53">
        <f>'4c-Rating Rationale (3)'!D13</f>
        <v>0</v>
      </c>
      <c r="G14" s="45">
        <f>'4d-Rating Rationale (4)'!D13</f>
        <v>0</v>
      </c>
    </row>
    <row r="15" spans="1:7" ht="18.95" customHeight="1">
      <c r="A15" s="909"/>
      <c r="B15" s="43"/>
      <c r="C15" s="68"/>
      <c r="D15" s="53"/>
      <c r="E15" s="53"/>
      <c r="F15" s="53"/>
      <c r="G15" s="45"/>
    </row>
    <row r="16" spans="1:7" ht="18.95" customHeight="1">
      <c r="A16" s="910"/>
      <c r="B16" s="56" t="s">
        <v>63</v>
      </c>
      <c r="C16" s="71">
        <f>SUM(C13:C15)</f>
        <v>1</v>
      </c>
      <c r="D16" s="115">
        <f>ROUND(SUMPRODUCT($C$13:$C$14,D13:D14),1)</f>
        <v>5</v>
      </c>
      <c r="E16" s="115">
        <f>ROUND(SUMPRODUCT($C$13:$C$14,E13:E14),1)</f>
        <v>10</v>
      </c>
      <c r="F16" s="115">
        <f>ROUND(SUMPRODUCT($C$13:$C$14,F13:F14),1)</f>
        <v>0</v>
      </c>
      <c r="G16" s="116">
        <f>ROUND(SUMPRODUCT($C$13:$C$14,G13:G14),1)</f>
        <v>0</v>
      </c>
    </row>
    <row r="17" spans="1:7" ht="18.95" customHeight="1">
      <c r="A17" s="911" t="str">
        <f>'3a-Attribute Rating(A)'!B9</f>
        <v>이용편의성</v>
      </c>
      <c r="B17" s="62">
        <f>'1b-Sub-Performance'!A23</f>
        <v>0</v>
      </c>
      <c r="C17" s="66">
        <v>1</v>
      </c>
      <c r="D17" s="57">
        <f>'4a-Rating Rationale (1)'!D16</f>
        <v>5</v>
      </c>
      <c r="E17" s="57">
        <f>'4b-Rating Rationale (2)'!D16</f>
        <v>5</v>
      </c>
      <c r="F17" s="57">
        <f>'4c-Rating Rationale (3)'!D16</f>
        <v>0</v>
      </c>
      <c r="G17" s="58">
        <f>'4d-Rating Rationale (4)'!D16</f>
        <v>0</v>
      </c>
    </row>
    <row r="18" spans="1:7" ht="18.95" customHeight="1">
      <c r="A18" s="912"/>
      <c r="B18" s="62">
        <f>'1b-Sub-Performance'!A24</f>
        <v>0</v>
      </c>
      <c r="C18" s="66">
        <v>0</v>
      </c>
      <c r="D18" s="57">
        <f>'4a-Rating Rationale (1)'!D17</f>
        <v>0</v>
      </c>
      <c r="E18" s="57">
        <f>'4b-Rating Rationale (2)'!D17</f>
        <v>0</v>
      </c>
      <c r="F18" s="57">
        <f>'4c-Rating Rationale (3)'!D17</f>
        <v>0</v>
      </c>
      <c r="G18" s="58">
        <f>'4d-Rating Rationale (4)'!D17</f>
        <v>0</v>
      </c>
    </row>
    <row r="19" spans="1:7" ht="18.95" customHeight="1">
      <c r="A19" s="912"/>
      <c r="B19" s="62"/>
      <c r="C19" s="67"/>
      <c r="D19" s="57"/>
      <c r="E19" s="57"/>
      <c r="F19" s="57"/>
      <c r="G19" s="58"/>
    </row>
    <row r="20" spans="1:7" ht="18.95" customHeight="1">
      <c r="A20" s="914"/>
      <c r="B20" s="59" t="s">
        <v>63</v>
      </c>
      <c r="C20" s="72">
        <f>SUM(C17:C19)</f>
        <v>1</v>
      </c>
      <c r="D20" s="113">
        <f>ROUND(SUMPRODUCT($C$17:$C$18,D17:D18),1)</f>
        <v>5</v>
      </c>
      <c r="E20" s="113">
        <f>ROUND(SUMPRODUCT($C$17:$C$18,E17:E18),1)</f>
        <v>5</v>
      </c>
      <c r="F20" s="113">
        <f>ROUND(SUMPRODUCT($C$17:$C$18,F17:F18),1)</f>
        <v>0</v>
      </c>
      <c r="G20" s="114">
        <f>ROUND(SUMPRODUCT($C$17:$C$18,G17:G18),1)</f>
        <v>0</v>
      </c>
    </row>
    <row r="21" spans="1:7" ht="18.95" customHeight="1">
      <c r="A21" s="60" t="str">
        <f>'3a-Attribute Rating(A)'!B10</f>
        <v>친환경성</v>
      </c>
      <c r="B21" s="43">
        <f>'1b-Sub-Performance'!A29</f>
        <v>0</v>
      </c>
      <c r="C21" s="65">
        <v>1</v>
      </c>
      <c r="D21" s="53">
        <f>'4a-Rating Rationale (1)'!D20</f>
        <v>5</v>
      </c>
      <c r="E21" s="53">
        <f>'4b-Rating Rationale (2)'!D20</f>
        <v>5</v>
      </c>
      <c r="F21" s="53">
        <f>'4c-Rating Rationale (3)'!D20</f>
        <v>0</v>
      </c>
      <c r="G21" s="45">
        <f>'4d-Rating Rationale (4)'!D20</f>
        <v>0</v>
      </c>
    </row>
    <row r="22" spans="1:7" ht="18.95" customHeight="1">
      <c r="A22" s="51"/>
      <c r="B22" s="43">
        <f>'1b-Sub-Performance'!A30</f>
        <v>0</v>
      </c>
      <c r="C22" s="65">
        <v>0</v>
      </c>
      <c r="D22" s="53">
        <f>'4a-Rating Rationale (1)'!D21</f>
        <v>0</v>
      </c>
      <c r="E22" s="53">
        <f>'4b-Rating Rationale (2)'!D21</f>
        <v>0</v>
      </c>
      <c r="F22" s="53">
        <f>'4c-Rating Rationale (3)'!D21</f>
        <v>0</v>
      </c>
      <c r="G22" s="45">
        <f>'4d-Rating Rationale (4)'!D21</f>
        <v>0</v>
      </c>
    </row>
    <row r="23" spans="1:7" ht="18.95" customHeight="1">
      <c r="A23" s="51"/>
      <c r="B23" s="44"/>
      <c r="C23" s="68"/>
      <c r="D23" s="53"/>
      <c r="E23" s="53"/>
      <c r="F23" s="53"/>
      <c r="G23" s="45"/>
    </row>
    <row r="24" spans="1:7" ht="18.95" customHeight="1">
      <c r="A24" s="55"/>
      <c r="B24" s="56" t="s">
        <v>63</v>
      </c>
      <c r="C24" s="71">
        <f>SUM(C21:C23)</f>
        <v>1</v>
      </c>
      <c r="D24" s="115">
        <f>ROUND(SUMPRODUCT($C$21:$C$22,D21:D22),1)</f>
        <v>5</v>
      </c>
      <c r="E24" s="115">
        <f>ROUND(SUMPRODUCT($C$21:$C$22,E21:E22),1)</f>
        <v>5</v>
      </c>
      <c r="F24" s="115">
        <f>ROUND(SUMPRODUCT($C$21:$C$22,F21:F22),1)</f>
        <v>0</v>
      </c>
      <c r="G24" s="116">
        <f>ROUND(SUMPRODUCT($C$21:$C$22,G21:G22),1)</f>
        <v>0</v>
      </c>
    </row>
    <row r="25" spans="1:7" ht="18.95" customHeight="1">
      <c r="A25" s="911" t="str">
        <f>'3a-Attribute Rating(A)'!B11</f>
        <v>배수성</v>
      </c>
      <c r="B25" s="63">
        <f>'1b-Sub-Performance'!A35</f>
        <v>0</v>
      </c>
      <c r="C25" s="66">
        <v>1</v>
      </c>
      <c r="D25" s="57">
        <f>'4a-Rating Rationale (1)'!D24</f>
        <v>5</v>
      </c>
      <c r="E25" s="57">
        <f>'4b-Rating Rationale (2)'!D24</f>
        <v>5</v>
      </c>
      <c r="F25" s="57">
        <f>'4c-Rating Rationale (3)'!D24</f>
        <v>0</v>
      </c>
      <c r="G25" s="58">
        <f>'4d-Rating Rationale (4)'!D24</f>
        <v>0</v>
      </c>
    </row>
    <row r="26" spans="1:7" ht="18.95" customHeight="1">
      <c r="A26" s="912"/>
      <c r="B26" s="62">
        <f>'1b-Sub-Performance'!A36</f>
        <v>0</v>
      </c>
      <c r="C26" s="66">
        <v>0</v>
      </c>
      <c r="D26" s="57">
        <f>'4a-Rating Rationale (1)'!D25</f>
        <v>0</v>
      </c>
      <c r="E26" s="57">
        <f>'4b-Rating Rationale (2)'!D25</f>
        <v>0</v>
      </c>
      <c r="F26" s="57">
        <f>'4c-Rating Rationale (3)'!D25</f>
        <v>0</v>
      </c>
      <c r="G26" s="58">
        <f>'4d-Rating Rationale (4)'!D25</f>
        <v>0</v>
      </c>
    </row>
    <row r="27" spans="1:7" ht="18.95" customHeight="1">
      <c r="A27" s="912"/>
      <c r="B27" s="62"/>
      <c r="C27" s="67"/>
      <c r="D27" s="57"/>
      <c r="E27" s="57"/>
      <c r="F27" s="57"/>
      <c r="G27" s="58"/>
    </row>
    <row r="28" spans="1:7" ht="18.95" customHeight="1">
      <c r="A28" s="914"/>
      <c r="B28" s="59" t="s">
        <v>63</v>
      </c>
      <c r="C28" s="72">
        <f>SUM(C25:C27)</f>
        <v>1</v>
      </c>
      <c r="D28" s="113">
        <f>ROUND(SUMPRODUCT($C$25:$C$26,D25:D26),1)</f>
        <v>5</v>
      </c>
      <c r="E28" s="113">
        <f>ROUND(SUMPRODUCT($C$25:$C$26,E25:E26),1)</f>
        <v>5</v>
      </c>
      <c r="F28" s="113">
        <f>ROUND(SUMPRODUCT($C$25:$C$26,F25:F26),1)</f>
        <v>0</v>
      </c>
      <c r="G28" s="114">
        <f>ROUND(SUMPRODUCT($C$25:$C$26,G25:G26),1)</f>
        <v>0</v>
      </c>
    </row>
    <row r="29" spans="1:7" ht="18.95" customHeight="1">
      <c r="A29" s="908" t="str">
        <f>'3a-Attribute Rating(A)'!B12</f>
        <v>교통안전성</v>
      </c>
      <c r="B29" s="43">
        <f>'1b-Sub-Performance'!A41</f>
        <v>0</v>
      </c>
      <c r="C29" s="65">
        <v>1</v>
      </c>
      <c r="D29" s="53">
        <f>'4a-Rating Rationale (1)'!D28</f>
        <v>5</v>
      </c>
      <c r="E29" s="53">
        <f>'4b-Rating Rationale (2)'!D28</f>
        <v>5</v>
      </c>
      <c r="F29" s="53">
        <f>'4c-Rating Rationale (3)'!D28</f>
        <v>0</v>
      </c>
      <c r="G29" s="45">
        <f>'4d-Rating Rationale (4)'!D28</f>
        <v>0</v>
      </c>
    </row>
    <row r="30" spans="1:7" ht="18.95" customHeight="1">
      <c r="A30" s="909"/>
      <c r="B30" s="43">
        <f>'1b-Sub-Performance'!A42</f>
        <v>0</v>
      </c>
      <c r="C30" s="65"/>
      <c r="D30" s="53">
        <f>'4a-Rating Rationale (1)'!D29</f>
        <v>0</v>
      </c>
      <c r="E30" s="53">
        <f>'4b-Rating Rationale (2)'!D29</f>
        <v>0</v>
      </c>
      <c r="F30" s="53">
        <f>'4c-Rating Rationale (3)'!D29</f>
        <v>0</v>
      </c>
      <c r="G30" s="45">
        <f>'4d-Rating Rationale (4)'!D29</f>
        <v>0</v>
      </c>
    </row>
    <row r="31" spans="1:7" ht="18.95" customHeight="1">
      <c r="A31" s="909"/>
      <c r="B31" s="43"/>
      <c r="C31" s="68"/>
      <c r="D31" s="53"/>
      <c r="E31" s="53"/>
      <c r="F31" s="53"/>
      <c r="G31" s="45"/>
    </row>
    <row r="32" spans="1:7" ht="18.95" customHeight="1">
      <c r="A32" s="910"/>
      <c r="B32" s="56" t="s">
        <v>63</v>
      </c>
      <c r="C32" s="69"/>
      <c r="D32" s="115">
        <f>ROUND(SUMPRODUCT($C$29:$C$30,D29:D30),1)</f>
        <v>5</v>
      </c>
      <c r="E32" s="115">
        <f>ROUND(SUMPRODUCT($C$29:$C$30,E29:E30),1)</f>
        <v>5</v>
      </c>
      <c r="F32" s="115">
        <f>ROUND(SUMPRODUCT($C$29:$C$30,F29:F30),1)</f>
        <v>0</v>
      </c>
      <c r="G32" s="116">
        <f>ROUND(SUMPRODUCT($C$29:$C$30,G29:G30),1)</f>
        <v>0</v>
      </c>
    </row>
    <row r="33" spans="1:7" ht="18.95" customHeight="1">
      <c r="A33" s="911" t="str">
        <f>'3a-Attribute Rating(A)'!B13</f>
        <v>민원성</v>
      </c>
      <c r="B33" s="62">
        <f>'1b-Sub-Performance'!A47</f>
        <v>0</v>
      </c>
      <c r="C33" s="66">
        <v>1</v>
      </c>
      <c r="D33" s="57">
        <f>'4a-Rating Rationale (1)'!D32</f>
        <v>5</v>
      </c>
      <c r="E33" s="57">
        <f>'4b-Rating Rationale (2)'!D32</f>
        <v>6</v>
      </c>
      <c r="F33" s="57">
        <f>'4c-Rating Rationale (3)'!D32</f>
        <v>0</v>
      </c>
      <c r="G33" s="58">
        <f>'4d-Rating Rationale (4)'!D32</f>
        <v>0</v>
      </c>
    </row>
    <row r="34" spans="1:7" ht="18.95" customHeight="1">
      <c r="A34" s="912"/>
      <c r="B34" s="62">
        <f>'1b-Sub-Performance'!A48</f>
        <v>0</v>
      </c>
      <c r="C34" s="66">
        <v>1</v>
      </c>
      <c r="D34" s="57"/>
      <c r="E34" s="57"/>
      <c r="F34" s="57"/>
      <c r="G34" s="58"/>
    </row>
    <row r="35" spans="1:7" ht="18.95" customHeight="1">
      <c r="A35" s="912"/>
      <c r="B35" s="62"/>
      <c r="C35" s="67"/>
      <c r="D35" s="57"/>
      <c r="E35" s="57"/>
      <c r="F35" s="57"/>
      <c r="G35" s="58"/>
    </row>
    <row r="36" spans="1:7" ht="18.95" customHeight="1" thickBot="1">
      <c r="A36" s="913"/>
      <c r="B36" s="61" t="s">
        <v>63</v>
      </c>
      <c r="C36" s="70"/>
      <c r="D36" s="73">
        <f>ROUND(SUMPRODUCT($C$33:$C$34,D33:D34),1)</f>
        <v>5</v>
      </c>
      <c r="E36" s="73">
        <f>ROUND(SUMPRODUCT($C$33:$C$34,E33:E34),1)</f>
        <v>6</v>
      </c>
      <c r="F36" s="73">
        <f>ROUND(SUMPRODUCT($C$33:$C$34,F33:F34),1)</f>
        <v>0</v>
      </c>
      <c r="G36" s="75">
        <f>ROUND(SUMPRODUCT($C$33:$C$34,G33:G34),1)</f>
        <v>0</v>
      </c>
    </row>
    <row r="37" spans="1:7" ht="16.5" customHeight="1">
      <c r="D37" s="2"/>
      <c r="E37" s="2"/>
      <c r="F37" s="2"/>
      <c r="G37" s="2"/>
    </row>
    <row r="38" spans="1:7" ht="16.5" customHeight="1"/>
    <row r="39" spans="1:7" ht="16.5" customHeight="1"/>
    <row r="40" spans="1:7" ht="16.5" customHeight="1"/>
    <row r="41" spans="1:7" ht="16.5" customHeight="1"/>
    <row r="42" spans="1:7" ht="16.5" customHeight="1"/>
    <row r="43" spans="1:7" ht="16.5" customHeight="1"/>
    <row r="44" spans="1:7" ht="16.5" customHeight="1"/>
    <row r="45" spans="1:7" ht="16.5" customHeight="1"/>
    <row r="46" spans="1:7" ht="16.5" customHeight="1"/>
    <row r="47" spans="1:7" ht="16.5" customHeight="1"/>
    <row r="48" spans="1:7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</sheetData>
  <mergeCells count="8">
    <mergeCell ref="A29:A32"/>
    <mergeCell ref="A33:A36"/>
    <mergeCell ref="A1:G1"/>
    <mergeCell ref="A5:A8"/>
    <mergeCell ref="A9:A12"/>
    <mergeCell ref="A13:A16"/>
    <mergeCell ref="A17:A20"/>
    <mergeCell ref="A25:A28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/>
  </sheetPr>
  <dimension ref="A1:AS54"/>
  <sheetViews>
    <sheetView tabSelected="1" view="pageBreakPreview" zoomScale="115" zoomScaleNormal="100" zoomScaleSheetLayoutView="115" workbookViewId="0">
      <selection activeCell="R18" sqref="R18"/>
    </sheetView>
  </sheetViews>
  <sheetFormatPr defaultColWidth="6.88671875" defaultRowHeight="16.5"/>
  <cols>
    <col min="1" max="1" width="8.88671875" style="408" customWidth="1"/>
    <col min="2" max="2" width="6.77734375" style="408" customWidth="1"/>
    <col min="3" max="3" width="7.77734375" style="408" customWidth="1"/>
    <col min="4" max="13" width="4.21875" style="408" customWidth="1"/>
    <col min="14" max="14" width="8.77734375" style="408" customWidth="1"/>
    <col min="15" max="15" width="2.5546875" style="408" customWidth="1"/>
    <col min="16" max="16" width="8.33203125" style="408" customWidth="1"/>
    <col min="17" max="17" width="5.109375" style="408" customWidth="1"/>
    <col min="18" max="18" width="6.6640625" style="408" bestFit="1" customWidth="1"/>
    <col min="19" max="19" width="6.5546875" style="408" bestFit="1" customWidth="1"/>
    <col min="20" max="20" width="6.33203125" style="408" bestFit="1" customWidth="1"/>
    <col min="21" max="21" width="10.44140625" style="408" customWidth="1"/>
    <col min="22" max="22" width="4.33203125" style="408" bestFit="1" customWidth="1"/>
    <col min="23" max="23" width="13.109375" style="408" bestFit="1" customWidth="1"/>
    <col min="24" max="24" width="6.6640625" style="408" bestFit="1" customWidth="1"/>
    <col min="25" max="34" width="5.77734375" style="408" customWidth="1"/>
    <col min="35" max="16384" width="6.88671875" style="408"/>
  </cols>
  <sheetData>
    <row r="1" spans="1:45" ht="18.75" customHeight="1">
      <c r="A1" s="729" t="s">
        <v>64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1"/>
      <c r="O1" s="629"/>
      <c r="P1" s="629"/>
    </row>
    <row r="2" spans="1:45" ht="19.5" customHeight="1" thickBot="1">
      <c r="A2" s="630" t="str">
        <f>'1a-Performance'!A2:B2</f>
        <v xml:space="preserve">VE Title : </v>
      </c>
      <c r="B2" s="726" t="str">
        <f>'1a-Performance'!B2</f>
        <v>포장두께</v>
      </c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2"/>
      <c r="O2" s="633"/>
      <c r="P2" s="633"/>
    </row>
    <row r="3" spans="1:45" ht="17.25" thickBot="1">
      <c r="A3" s="939"/>
      <c r="B3" s="939"/>
      <c r="C3" s="939"/>
      <c r="D3" s="939"/>
      <c r="E3" s="939"/>
      <c r="F3" s="939"/>
      <c r="G3" s="939"/>
      <c r="H3" s="939"/>
      <c r="I3" s="939"/>
      <c r="J3" s="939"/>
      <c r="K3" s="939"/>
      <c r="L3" s="939"/>
      <c r="M3" s="939"/>
      <c r="N3" s="939"/>
      <c r="O3" s="634"/>
      <c r="P3" s="634"/>
      <c r="R3" s="377"/>
    </row>
    <row r="4" spans="1:45" ht="12.75" customHeight="1">
      <c r="A4" s="940" t="s">
        <v>65</v>
      </c>
      <c r="B4" s="942" t="s">
        <v>66</v>
      </c>
      <c r="C4" s="944" t="s">
        <v>67</v>
      </c>
      <c r="D4" s="945" t="s">
        <v>68</v>
      </c>
      <c r="E4" s="946"/>
      <c r="F4" s="946"/>
      <c r="G4" s="946"/>
      <c r="H4" s="946"/>
      <c r="I4" s="946"/>
      <c r="J4" s="946"/>
      <c r="K4" s="946"/>
      <c r="L4" s="946"/>
      <c r="M4" s="947"/>
      <c r="N4" s="948" t="s">
        <v>349</v>
      </c>
      <c r="O4" s="635"/>
      <c r="P4" s="635"/>
      <c r="R4" s="377"/>
      <c r="S4" s="626"/>
    </row>
    <row r="5" spans="1:45" ht="17.25" thickBot="1">
      <c r="A5" s="941"/>
      <c r="B5" s="943"/>
      <c r="C5" s="943"/>
      <c r="D5" s="636">
        <v>1</v>
      </c>
      <c r="E5" s="636">
        <v>2</v>
      </c>
      <c r="F5" s="637">
        <v>3</v>
      </c>
      <c r="G5" s="636">
        <v>4</v>
      </c>
      <c r="H5" s="636">
        <v>5</v>
      </c>
      <c r="I5" s="636">
        <v>6</v>
      </c>
      <c r="J5" s="636">
        <v>7</v>
      </c>
      <c r="K5" s="636">
        <v>8</v>
      </c>
      <c r="L5" s="637">
        <v>9</v>
      </c>
      <c r="M5" s="637">
        <v>10</v>
      </c>
      <c r="N5" s="949"/>
      <c r="O5" s="635"/>
      <c r="P5" s="635"/>
      <c r="R5" s="638"/>
      <c r="S5" s="638"/>
      <c r="T5" s="435"/>
      <c r="V5" s="931" t="s">
        <v>374</v>
      </c>
      <c r="W5" s="932"/>
      <c r="X5" s="932" t="s">
        <v>375</v>
      </c>
      <c r="Y5" s="932" t="str">
        <f>'4a-Rating Rationale (1)'!D2</f>
        <v>비교1안(PCC Slab 46cm)</v>
      </c>
      <c r="Z5" s="932"/>
      <c r="AA5" s="932"/>
      <c r="AB5" s="932" t="str">
        <f>'4b-Rating Rationale (2)'!D2</f>
        <v>비교2안(PCC Slab 50cm)</v>
      </c>
      <c r="AC5" s="932"/>
      <c r="AD5" s="932"/>
      <c r="AE5" s="936">
        <f>'4c-Rating Rationale (3)'!D2</f>
        <v>0</v>
      </c>
      <c r="AF5" s="932"/>
      <c r="AG5" s="932"/>
      <c r="AH5" s="932">
        <f>'4d-Rating Rationale (4)'!D2</f>
        <v>0</v>
      </c>
      <c r="AI5" s="932"/>
      <c r="AJ5" s="937"/>
    </row>
    <row r="6" spans="1:45" ht="12.6" customHeight="1">
      <c r="A6" s="950" t="str">
        <f>'1a-Performance'!A5</f>
        <v>시공성</v>
      </c>
      <c r="B6" s="951">
        <f>'3a-Attribute Rating(A)'!P6*100</f>
        <v>16.3</v>
      </c>
      <c r="C6" s="639" t="s">
        <v>69</v>
      </c>
      <c r="D6" s="640" t="str">
        <f>IF(AND((D$5&gt;=1),(D$5&lt;'6a-Hierarchy'!$D$8))," ",IF(D$5='6a-Hierarchy'!$D$8,D$5,""))</f>
        <v xml:space="preserve"> </v>
      </c>
      <c r="E6" s="641" t="str">
        <f>IF(AND((E$5&gt;=1),(E$5&lt;'6a-Hierarchy'!$D$8))," ",IF(E$5='6a-Hierarchy'!$D$8,E$5,""))</f>
        <v xml:space="preserve"> </v>
      </c>
      <c r="F6" s="641" t="str">
        <f>IF(AND((F$5&gt;=1),(F$5&lt;'6a-Hierarchy'!$D$8))," ",IF(F$5='6a-Hierarchy'!$D$8,F$5,""))</f>
        <v xml:space="preserve"> </v>
      </c>
      <c r="G6" s="641" t="str">
        <f>IF(AND((G$5&gt;=1),(G$5&lt;'6a-Hierarchy'!$D$8))," ",IF(G$5='6a-Hierarchy'!$D$8,G$5,""))</f>
        <v xml:space="preserve"> </v>
      </c>
      <c r="H6" s="641">
        <f>IF(AND((H$5&gt;=1),(H$5&lt;'6a-Hierarchy'!$D$8))," ",IF(H$5='6a-Hierarchy'!$D$8,H$5,""))</f>
        <v>5</v>
      </c>
      <c r="I6" s="642" t="str">
        <f>IF(AND((I$5&gt;=1),(I$5&lt;'6a-Hierarchy'!$D$8))," ",IF(I$5='6a-Hierarchy'!$D$8,I$5,""))</f>
        <v/>
      </c>
      <c r="J6" s="642" t="str">
        <f>IF(AND((J$5&gt;=1),(J$5&lt;'6a-Hierarchy'!$D$8))," ",IF(J$5='6a-Hierarchy'!$D$8,J$5,""))</f>
        <v/>
      </c>
      <c r="K6" s="642" t="str">
        <f>IF(AND((K$5&gt;=1),(K$5&lt;'6a-Hierarchy'!$D$8))," ",IF(K$5='6a-Hierarchy'!$D$8,K$5,""))</f>
        <v/>
      </c>
      <c r="L6" s="642" t="str">
        <f>IF(AND((L$5&gt;=1),(L$5&lt;'6a-Hierarchy'!$D$8))," ",IF(L$5='6a-Hierarchy'!$D$8,L$5,""))</f>
        <v/>
      </c>
      <c r="M6" s="643" t="str">
        <f>IF(AND((M$5&gt;=1),(M$5&lt;'6a-Hierarchy'!$D$8))," ",IF(M$5='6a-Hierarchy'!$D$8,M$5,""))</f>
        <v/>
      </c>
      <c r="N6" s="644">
        <f>$B$6*SUM(D6:M6)</f>
        <v>81.5</v>
      </c>
      <c r="O6" s="645"/>
      <c r="P6" s="645">
        <f>N6*$F$50</f>
        <v>16.3</v>
      </c>
      <c r="R6" s="646"/>
      <c r="S6" s="646"/>
      <c r="T6" s="606"/>
      <c r="V6" s="931"/>
      <c r="W6" s="932"/>
      <c r="X6" s="932"/>
      <c r="Y6" s="703" t="s">
        <v>376</v>
      </c>
      <c r="Z6" s="703" t="s">
        <v>377</v>
      </c>
      <c r="AA6" s="703" t="s">
        <v>378</v>
      </c>
      <c r="AB6" s="703" t="s">
        <v>376</v>
      </c>
      <c r="AC6" s="703" t="s">
        <v>377</v>
      </c>
      <c r="AD6" s="704" t="s">
        <v>378</v>
      </c>
      <c r="AE6" s="713" t="s">
        <v>376</v>
      </c>
      <c r="AF6" s="711" t="s">
        <v>377</v>
      </c>
      <c r="AG6" s="703" t="s">
        <v>378</v>
      </c>
      <c r="AH6" s="703" t="s">
        <v>376</v>
      </c>
      <c r="AI6" s="703" t="s">
        <v>377</v>
      </c>
      <c r="AJ6" s="704" t="s">
        <v>378</v>
      </c>
      <c r="AM6" s="408" t="str">
        <f>Y5</f>
        <v>비교1안(PCC Slab 46cm)</v>
      </c>
      <c r="AN6" s="408" t="str">
        <f>AB5</f>
        <v>비교2안(PCC Slab 50cm)</v>
      </c>
      <c r="AR6" s="408" t="str">
        <f>AM6</f>
        <v>비교1안(PCC Slab 46cm)</v>
      </c>
      <c r="AS6" s="408" t="str">
        <f>AN6</f>
        <v>비교2안(PCC Slab 50cm)</v>
      </c>
    </row>
    <row r="7" spans="1:45" ht="12.6" customHeight="1">
      <c r="A7" s="950"/>
      <c r="B7" s="952"/>
      <c r="C7" s="647" t="s">
        <v>253</v>
      </c>
      <c r="D7" s="648" t="str">
        <f>IF(AND((D$5&gt;=1),(D$5&lt;'6a-Hierarchy'!$E$8))," ",IF(D$5='6a-Hierarchy'!$E$8,D$5,""))</f>
        <v xml:space="preserve"> </v>
      </c>
      <c r="E7" s="649" t="str">
        <f>IF(AND((E$5&gt;=1),(E$5&lt;'6a-Hierarchy'!$E$8))," ",IF(E$5='6a-Hierarchy'!$E$8,E$5,""))</f>
        <v xml:space="preserve"> </v>
      </c>
      <c r="F7" s="649" t="str">
        <f>IF(AND((F$5&gt;=1),(F$5&lt;'6a-Hierarchy'!$E$8))," ",IF(F$5='6a-Hierarchy'!$E$8,F$5,""))</f>
        <v xml:space="preserve"> </v>
      </c>
      <c r="G7" s="649">
        <f>IF(AND((G$5&gt;=1),(G$5&lt;'6a-Hierarchy'!$E$8))," ",IF(G$5='6a-Hierarchy'!$E$8,G$5,""))</f>
        <v>4</v>
      </c>
      <c r="H7" s="650" t="str">
        <f>IF(AND((H$5&gt;=1),(H$5&lt;'6a-Hierarchy'!$E$8))," ",IF(H$5='6a-Hierarchy'!$E$8,H$5,""))</f>
        <v/>
      </c>
      <c r="I7" s="651" t="str">
        <f>IF(AND((I$5&gt;=1),(I$5&lt;'6a-Hierarchy'!$E$8))," ",IF(I$5='6a-Hierarchy'!$E$8,I$5,""))</f>
        <v/>
      </c>
      <c r="J7" s="650" t="str">
        <f>IF(AND((J$5&gt;=1),(J$5&lt;'6a-Hierarchy'!$E$8))," ",IF(J$5='6a-Hierarchy'!$E$8,J$5,""))</f>
        <v/>
      </c>
      <c r="K7" s="650" t="str">
        <f>IF(AND((K$5&gt;=1),(K$5&lt;'6a-Hierarchy'!$E$8))," ",IF(K$5='6a-Hierarchy'!$E$8,K$5,""))</f>
        <v/>
      </c>
      <c r="L7" s="650" t="str">
        <f>IF(AND((L$5&gt;=1),(L$5&lt;'6a-Hierarchy'!$E$8))," ",IF(L$5='6a-Hierarchy'!$E$8,L$5,""))</f>
        <v/>
      </c>
      <c r="M7" s="652" t="str">
        <f>IF(AND((M$5&gt;=1),(M$5&lt;'6a-Hierarchy'!$E$8))," ",IF(M$5='6a-Hierarchy'!$E$8,M$5,""))</f>
        <v/>
      </c>
      <c r="N7" s="653">
        <f>$B$6*SUM(D7:M7)</f>
        <v>65.2</v>
      </c>
      <c r="O7" s="645"/>
      <c r="P7" s="645">
        <f t="shared" ref="P7:P37" si="0">N7*$F$50</f>
        <v>13.040000000000001</v>
      </c>
      <c r="R7" s="646"/>
      <c r="S7" s="646"/>
      <c r="T7" s="606"/>
      <c r="V7" s="933" t="s">
        <v>379</v>
      </c>
      <c r="W7" s="701" t="str">
        <f>A6</f>
        <v>시공성</v>
      </c>
      <c r="X7" s="702">
        <f>B6/100</f>
        <v>0.16300000000000001</v>
      </c>
      <c r="Y7" s="700">
        <f>'4a-Rating Rationale (1)'!D4</f>
        <v>5</v>
      </c>
      <c r="Z7" s="705">
        <f>N6</f>
        <v>81.5</v>
      </c>
      <c r="AA7" s="705">
        <f>P6</f>
        <v>16.3</v>
      </c>
      <c r="AB7" s="700">
        <f>'4b-Rating Rationale (2)'!D4</f>
        <v>4</v>
      </c>
      <c r="AC7" s="705">
        <f>N7</f>
        <v>65.2</v>
      </c>
      <c r="AD7" s="710">
        <f>P7</f>
        <v>13.040000000000001</v>
      </c>
      <c r="AE7" s="714">
        <f>'4c-Rating Rationale (3)'!D4</f>
        <v>0</v>
      </c>
      <c r="AF7" s="708">
        <f>N8</f>
        <v>0</v>
      </c>
      <c r="AG7" s="708">
        <f>P8</f>
        <v>0</v>
      </c>
      <c r="AH7" s="700">
        <f>'4d-Rating Rationale (4)'!D4</f>
        <v>0</v>
      </c>
      <c r="AI7" s="706">
        <f>N9</f>
        <v>0</v>
      </c>
      <c r="AJ7" s="707">
        <f>P9</f>
        <v>0</v>
      </c>
      <c r="AL7" s="408" t="str">
        <f>W7</f>
        <v>시공성</v>
      </c>
      <c r="AM7" s="408">
        <f>Y7</f>
        <v>5</v>
      </c>
      <c r="AN7" s="408">
        <f t="shared" ref="AN7:AN15" si="1">AB7</f>
        <v>4</v>
      </c>
      <c r="AQ7" s="716" t="s">
        <v>397</v>
      </c>
      <c r="AR7" s="695">
        <f>Y21</f>
        <v>100</v>
      </c>
      <c r="AS7" s="695">
        <f>AB21</f>
        <v>115</v>
      </c>
    </row>
    <row r="8" spans="1:45" ht="12.6" customHeight="1">
      <c r="A8" s="950"/>
      <c r="B8" s="952"/>
      <c r="C8" s="647" t="s">
        <v>118</v>
      </c>
      <c r="D8" s="654" t="str">
        <f>IF(AND((D$5&gt;=1),(D$5&lt;'6a-Hierarchy'!$F$8))," ",IF(D$5='6a-Hierarchy'!$F$8,D$5,""))</f>
        <v/>
      </c>
      <c r="E8" s="642" t="str">
        <f>IF(AND((E$5&gt;=1),(E$5&lt;'6a-Hierarchy'!$F$8))," ",IF(E$5='6a-Hierarchy'!$F$8,E$5,""))</f>
        <v/>
      </c>
      <c r="F8" s="642" t="str">
        <f>IF(AND((F$5&gt;=1),(F$5&lt;'6a-Hierarchy'!$F$8))," ",IF(F$5='6a-Hierarchy'!$F$8,F$5,""))</f>
        <v/>
      </c>
      <c r="G8" s="642" t="str">
        <f>IF(AND((G$5&gt;=1),(G$5&lt;'6a-Hierarchy'!$F$8))," ",IF(G$5='6a-Hierarchy'!$F$8,G$5,""))</f>
        <v/>
      </c>
      <c r="H8" s="642" t="str">
        <f>IF(AND((H$5&gt;=1),(H$5&lt;'6a-Hierarchy'!$F$8))," ",IF(H$5='6a-Hierarchy'!$F$8,H$5,""))</f>
        <v/>
      </c>
      <c r="I8" s="650" t="str">
        <f>IF(AND((I$5&gt;=1),(I$5&lt;'6a-Hierarchy'!$F$8))," ",IF(I$5='6a-Hierarchy'!$F$8,I$5,""))</f>
        <v/>
      </c>
      <c r="J8" s="650" t="str">
        <f>IF(AND((J$5&gt;=1),(J$5&lt;'6a-Hierarchy'!$F$8))," ",IF(J$5='6a-Hierarchy'!$F$8,J$5,""))</f>
        <v/>
      </c>
      <c r="K8" s="650" t="str">
        <f>IF(AND((K$5&gt;=1),(K$5&lt;'6a-Hierarchy'!$F$8))," ",IF(K$5='6a-Hierarchy'!$F$8,K$5,""))</f>
        <v/>
      </c>
      <c r="L8" s="650" t="str">
        <f>IF(AND((L$5&gt;=1),(L$5&lt;'6a-Hierarchy'!$F$8))," ",IF(L$5='6a-Hierarchy'!$F$8,L$5,""))</f>
        <v/>
      </c>
      <c r="M8" s="652" t="str">
        <f>IF(AND((M$5&gt;=1),(M$5&lt;'6a-Hierarchy'!$F$8))," ",IF(M$5='6a-Hierarchy'!$F$8,M$5,""))</f>
        <v/>
      </c>
      <c r="N8" s="653">
        <f>$B$6*SUM(D8:M8)</f>
        <v>0</v>
      </c>
      <c r="O8" s="645"/>
      <c r="P8" s="645">
        <f t="shared" si="0"/>
        <v>0</v>
      </c>
      <c r="R8" s="646"/>
      <c r="S8" s="646"/>
      <c r="T8" s="606"/>
      <c r="V8" s="931"/>
      <c r="W8" s="701" t="str">
        <f>A10</f>
        <v>유지관리성</v>
      </c>
      <c r="X8" s="702">
        <f>B10/100</f>
        <v>0.14199999999999999</v>
      </c>
      <c r="Y8" s="700">
        <f>'4a-Rating Rationale (1)'!D8</f>
        <v>5</v>
      </c>
      <c r="Z8" s="705">
        <f>N10</f>
        <v>71</v>
      </c>
      <c r="AA8" s="705">
        <f>P10</f>
        <v>14.200000000000001</v>
      </c>
      <c r="AB8" s="700">
        <f>'4b-Rating Rationale (2)'!D8</f>
        <v>6</v>
      </c>
      <c r="AC8" s="705">
        <f>N11</f>
        <v>85.199999999999989</v>
      </c>
      <c r="AD8" s="710">
        <f>P11</f>
        <v>17.04</v>
      </c>
      <c r="AE8" s="714">
        <f>'4c-Rating Rationale (3)'!D8</f>
        <v>0</v>
      </c>
      <c r="AF8" s="708">
        <f>N12</f>
        <v>0</v>
      </c>
      <c r="AG8" s="708">
        <f>P12</f>
        <v>0</v>
      </c>
      <c r="AH8" s="700">
        <f>'4d-Rating Rationale (4)'!D8</f>
        <v>0</v>
      </c>
      <c r="AI8" s="706">
        <f>N13</f>
        <v>0</v>
      </c>
      <c r="AJ8" s="707">
        <f>P13</f>
        <v>0</v>
      </c>
      <c r="AL8" s="408" t="str">
        <f t="shared" ref="AL8:AL15" si="2">W8</f>
        <v>유지관리성</v>
      </c>
      <c r="AM8" s="408">
        <f t="shared" ref="AM8:AM15" si="3">Y8</f>
        <v>5</v>
      </c>
      <c r="AN8" s="408">
        <f t="shared" si="1"/>
        <v>6</v>
      </c>
      <c r="AQ8" s="408" t="s">
        <v>396</v>
      </c>
      <c r="AR8" s="718">
        <f t="shared" ref="AR8:AR9" si="4">Y22</f>
        <v>1</v>
      </c>
      <c r="AS8" s="718">
        <f>AB22</f>
        <v>0.89635395240270943</v>
      </c>
    </row>
    <row r="9" spans="1:45" ht="12.6" customHeight="1">
      <c r="A9" s="950"/>
      <c r="B9" s="952"/>
      <c r="C9" s="647" t="s">
        <v>117</v>
      </c>
      <c r="D9" s="655" t="str">
        <f>IF(AND((D$5&gt;=1),(D$5&lt;'6a-Hierarchy'!$G$8))," ",IF(D$5='6a-Hierarchy'!$G$8,D$5,""))</f>
        <v/>
      </c>
      <c r="E9" s="656" t="str">
        <f>IF(AND((E$5&gt;=1),(E$5&lt;'6a-Hierarchy'!$G$8))," ",IF(E$5='6a-Hierarchy'!$G$8,E$5,""))</f>
        <v/>
      </c>
      <c r="F9" s="656" t="str">
        <f>IF(AND((F$5&gt;=1),(F$5&lt;'6a-Hierarchy'!$G$8))," ",IF(F$5='6a-Hierarchy'!$G$8,F$5,""))</f>
        <v/>
      </c>
      <c r="G9" s="656" t="str">
        <f>IF(AND((G$5&gt;=1),(G$5&lt;'6a-Hierarchy'!$G$8))," ",IF(G$5='6a-Hierarchy'!$G$8,G$5,""))</f>
        <v/>
      </c>
      <c r="H9" s="642" t="str">
        <f>IF(AND((H$5&gt;=1),(H$5&lt;'6a-Hierarchy'!$G$8))," ",IF(H$5='6a-Hierarchy'!$G$8,H$5,""))</f>
        <v/>
      </c>
      <c r="I9" s="642" t="str">
        <f>IF(AND((I$5&gt;=1),(I$5&lt;'6a-Hierarchy'!$G$8))," ",IF(I$5='6a-Hierarchy'!$G$8,I$5,""))</f>
        <v/>
      </c>
      <c r="J9" s="642" t="str">
        <f>IF(AND((J$5&gt;=1),(J$5&lt;'6a-Hierarchy'!$G$8))," ",IF(J$5='6a-Hierarchy'!$G$8,J$5,""))</f>
        <v/>
      </c>
      <c r="K9" s="642" t="str">
        <f>IF(AND((K$5&gt;=1),(K$5&lt;'6a-Hierarchy'!$G$8))," ",IF(K$5='6a-Hierarchy'!$G$8,K$5,""))</f>
        <v/>
      </c>
      <c r="L9" s="642" t="str">
        <f>IF(AND((L$5&gt;=1),(L$5&lt;'6a-Hierarchy'!$G$8))," ",IF(L$5='6a-Hierarchy'!$G$8,L$5,""))</f>
        <v/>
      </c>
      <c r="M9" s="657" t="str">
        <f>IF(AND((M$5&gt;=1),(M$5&lt;'6a-Hierarchy'!$G$8))," ",IF(M$5='6a-Hierarchy'!$G$8,M$5,""))</f>
        <v/>
      </c>
      <c r="N9" s="653">
        <f>$B$6*SUM(D9:M9)</f>
        <v>0</v>
      </c>
      <c r="O9" s="645"/>
      <c r="P9" s="645">
        <f t="shared" si="0"/>
        <v>0</v>
      </c>
      <c r="R9" s="646"/>
      <c r="S9" s="646"/>
      <c r="T9" s="606"/>
      <c r="V9" s="931"/>
      <c r="W9" s="701" t="str">
        <f>A14</f>
        <v>내구성</v>
      </c>
      <c r="X9" s="702">
        <f>B14/100</f>
        <v>0.129</v>
      </c>
      <c r="Y9" s="700">
        <f>'4a-Rating Rationale (1)'!D12</f>
        <v>5</v>
      </c>
      <c r="Z9" s="705">
        <f>N14</f>
        <v>64.5</v>
      </c>
      <c r="AA9" s="705">
        <f>P14</f>
        <v>12.9</v>
      </c>
      <c r="AB9" s="700">
        <f>'4b-Rating Rationale (2)'!D12</f>
        <v>10</v>
      </c>
      <c r="AC9" s="705">
        <f>N15</f>
        <v>129</v>
      </c>
      <c r="AD9" s="710">
        <f>P15</f>
        <v>25.8</v>
      </c>
      <c r="AE9" s="714">
        <f>'4c-Rating Rationale (3)'!D12</f>
        <v>0</v>
      </c>
      <c r="AF9" s="708">
        <f>N16</f>
        <v>0</v>
      </c>
      <c r="AG9" s="708">
        <f>P16</f>
        <v>0</v>
      </c>
      <c r="AH9" s="700">
        <f>'4d-Rating Rationale (4)'!D12</f>
        <v>0</v>
      </c>
      <c r="AI9" s="706">
        <f>N17</f>
        <v>0</v>
      </c>
      <c r="AJ9" s="707">
        <f>P17</f>
        <v>0</v>
      </c>
      <c r="AL9" s="408" t="str">
        <f t="shared" si="2"/>
        <v>내구성</v>
      </c>
      <c r="AM9" s="408">
        <f t="shared" si="3"/>
        <v>5</v>
      </c>
      <c r="AN9" s="408">
        <f t="shared" si="1"/>
        <v>10</v>
      </c>
      <c r="AQ9" s="716" t="s">
        <v>398</v>
      </c>
      <c r="AR9" s="695">
        <f t="shared" si="4"/>
        <v>100</v>
      </c>
      <c r="AS9" s="695">
        <f>AB23</f>
        <v>128.30000000000001</v>
      </c>
    </row>
    <row r="10" spans="1:45" ht="12.6" customHeight="1">
      <c r="A10" s="814" t="str">
        <f>'1a-Performance'!A6</f>
        <v>유지관리성</v>
      </c>
      <c r="B10" s="952">
        <f>'3a-Attribute Rating(A)'!P7*100</f>
        <v>14.2</v>
      </c>
      <c r="C10" s="658" t="s">
        <v>69</v>
      </c>
      <c r="D10" s="659" t="str">
        <f>IF(AND((D$5&gt;=1),(D$5&lt;'6a-Hierarchy'!$D$12))," ",IF(D$5='6a-Hierarchy'!$D$12,D$5,""))</f>
        <v xml:space="preserve"> </v>
      </c>
      <c r="E10" s="660" t="str">
        <f>IF(AND((E$5&gt;=1),(E$5&lt;'6a-Hierarchy'!$D$12))," ",IF(E$5='6a-Hierarchy'!$D$12,E$5,""))</f>
        <v xml:space="preserve"> </v>
      </c>
      <c r="F10" s="660" t="str">
        <f>IF(AND((F$5&gt;=1),(F$5&lt;'6a-Hierarchy'!$D$12))," ",IF(F$5='6a-Hierarchy'!$D$12,F$5,""))</f>
        <v xml:space="preserve"> </v>
      </c>
      <c r="G10" s="660" t="str">
        <f>IF(AND((G$5&gt;=1),(G$5&lt;'6a-Hierarchy'!$D$12))," ",IF(G$5='6a-Hierarchy'!$D$12,G$5,""))</f>
        <v xml:space="preserve"> </v>
      </c>
      <c r="H10" s="660">
        <f>IF(AND((H$5&gt;=1),(H$5&lt;'6a-Hierarchy'!$D$12))," ",IF(H$5='6a-Hierarchy'!$D$12,H$5,""))</f>
        <v>5</v>
      </c>
      <c r="I10" s="661" t="str">
        <f>IF(AND((I$5&gt;=1),(I$5&lt;'6a-Hierarchy'!$D$12))," ",IF(I$5='6a-Hierarchy'!$D$12,I$5,""))</f>
        <v/>
      </c>
      <c r="J10" s="661" t="str">
        <f>IF(AND((J$5&gt;=1),(J$5&lt;'6a-Hierarchy'!$D$12))," ",IF(J$5='6a-Hierarchy'!$D$12,J$5,""))</f>
        <v/>
      </c>
      <c r="K10" s="661" t="str">
        <f>IF(AND((K$5&gt;=1),(K$5&lt;'6a-Hierarchy'!$D$12))," ",IF(K$5='6a-Hierarchy'!$D$12,K$5,""))</f>
        <v/>
      </c>
      <c r="L10" s="661" t="str">
        <f>IF(AND((L$5&gt;=1),(L$5&lt;'6a-Hierarchy'!$D$12))," ",IF(L$5='6a-Hierarchy'!$D$12,L$5,""))</f>
        <v/>
      </c>
      <c r="M10" s="662" t="str">
        <f>IF(AND((M$5&gt;=1),(M$5&lt;'6a-Hierarchy'!$D$12))," ",IF(M$5='6a-Hierarchy'!$D$12,M$5,""))</f>
        <v/>
      </c>
      <c r="N10" s="663">
        <f>$B$10*SUM(D10:M10)</f>
        <v>71</v>
      </c>
      <c r="O10" s="645"/>
      <c r="P10" s="664">
        <f t="shared" si="0"/>
        <v>14.200000000000001</v>
      </c>
      <c r="R10" s="646"/>
      <c r="S10" s="646"/>
      <c r="T10" s="606"/>
      <c r="V10" s="931"/>
      <c r="W10" s="701" t="str">
        <f>A18</f>
        <v>이용편의성</v>
      </c>
      <c r="X10" s="702">
        <f>B18/100</f>
        <v>0.11699999999999999</v>
      </c>
      <c r="Y10" s="700">
        <f>'4a-Rating Rationale (1)'!D16</f>
        <v>5</v>
      </c>
      <c r="Z10" s="705">
        <f>N18</f>
        <v>58.5</v>
      </c>
      <c r="AA10" s="705">
        <f>P18</f>
        <v>11.700000000000001</v>
      </c>
      <c r="AB10" s="700">
        <f>'4b-Rating Rationale (2)'!D16</f>
        <v>5</v>
      </c>
      <c r="AC10" s="705">
        <f>N19</f>
        <v>58.5</v>
      </c>
      <c r="AD10" s="710">
        <f>P19</f>
        <v>11.700000000000001</v>
      </c>
      <c r="AE10" s="714">
        <f>'4c-Rating Rationale (3)'!D16</f>
        <v>0</v>
      </c>
      <c r="AF10" s="708">
        <f>N20</f>
        <v>0</v>
      </c>
      <c r="AG10" s="708">
        <f>P20</f>
        <v>0</v>
      </c>
      <c r="AH10" s="700">
        <f>'4d-Rating Rationale (4)'!D16</f>
        <v>0</v>
      </c>
      <c r="AI10" s="706">
        <f>N21</f>
        <v>0</v>
      </c>
      <c r="AJ10" s="707">
        <f>P21</f>
        <v>0</v>
      </c>
      <c r="AL10" s="408" t="str">
        <f t="shared" si="2"/>
        <v>이용편의성</v>
      </c>
      <c r="AM10" s="408">
        <f t="shared" si="3"/>
        <v>5</v>
      </c>
      <c r="AN10" s="408">
        <f t="shared" si="1"/>
        <v>5</v>
      </c>
    </row>
    <row r="11" spans="1:45" ht="12.6" customHeight="1">
      <c r="A11" s="818"/>
      <c r="B11" s="952"/>
      <c r="C11" s="647" t="s">
        <v>253</v>
      </c>
      <c r="D11" s="648" t="str">
        <f>IF(AND((D$5&gt;=1),(D$5&lt;'6a-Hierarchy'!$E$12))," ",IF(D$5='6a-Hierarchy'!$E$12,D$5,""))</f>
        <v xml:space="preserve"> </v>
      </c>
      <c r="E11" s="649" t="str">
        <f>IF(AND((E$5&gt;=1),(E$5&lt;'6a-Hierarchy'!$E$12))," ",IF(E$5='6a-Hierarchy'!$E$12,E$5,""))</f>
        <v xml:space="preserve"> </v>
      </c>
      <c r="F11" s="649" t="str">
        <f>IF(AND((F$5&gt;=1),(F$5&lt;'6a-Hierarchy'!$E$12))," ",IF(F$5='6a-Hierarchy'!$E$12,F$5,""))</f>
        <v xml:space="preserve"> </v>
      </c>
      <c r="G11" s="649" t="str">
        <f>IF(AND((G$5&gt;=1),(G$5&lt;'6a-Hierarchy'!$E$12))," ",IF(G$5='6a-Hierarchy'!$E$12,G$5,""))</f>
        <v xml:space="preserve"> </v>
      </c>
      <c r="H11" s="649" t="str">
        <f>IF(AND((H$5&gt;=1),(H$5&lt;'6a-Hierarchy'!$E$12))," ",IF(H$5='6a-Hierarchy'!$E$12,H$5,""))</f>
        <v xml:space="preserve"> </v>
      </c>
      <c r="I11" s="649">
        <f>IF(AND((I$5&gt;=1),(I$5&lt;'6a-Hierarchy'!$E$12))," ",IF(I$5='6a-Hierarchy'!$E$12,I$5,""))</f>
        <v>6</v>
      </c>
      <c r="J11" s="650" t="str">
        <f>IF(AND((J$5&gt;=1),(J$5&lt;'6a-Hierarchy'!$E$12))," ",IF(J$5='6a-Hierarchy'!$E$12,J$5,""))</f>
        <v/>
      </c>
      <c r="K11" s="650" t="str">
        <f>IF(AND((K$5&gt;=1),(K$5&lt;'6a-Hierarchy'!$E$12))," ",IF(K$5='6a-Hierarchy'!$E$12,K$5,""))</f>
        <v/>
      </c>
      <c r="L11" s="650" t="str">
        <f>IF(AND((L$5&gt;=1),(L$5&lt;'6a-Hierarchy'!$E$12))," ",IF(L$5='6a-Hierarchy'!$E$12,L$5,""))</f>
        <v/>
      </c>
      <c r="M11" s="652" t="str">
        <f>IF(AND((M$5&gt;=1),(M$5&lt;'6a-Hierarchy'!$E$12))," ",IF(M$5='6a-Hierarchy'!$E$12,M$5,""))</f>
        <v/>
      </c>
      <c r="N11" s="653">
        <f>$B$10*SUM(D11:M11)</f>
        <v>85.199999999999989</v>
      </c>
      <c r="O11" s="645"/>
      <c r="P11" s="664">
        <f t="shared" si="0"/>
        <v>17.04</v>
      </c>
      <c r="R11" s="646"/>
      <c r="S11" s="646"/>
      <c r="T11" s="606"/>
      <c r="V11" s="931"/>
      <c r="W11" s="701" t="str">
        <f>A22</f>
        <v>친환경성</v>
      </c>
      <c r="X11" s="702">
        <f>B22/100</f>
        <v>9.8000000000000004E-2</v>
      </c>
      <c r="Y11" s="700">
        <f>'4a-Rating Rationale (1)'!D20</f>
        <v>5</v>
      </c>
      <c r="Z11" s="705">
        <f>N22</f>
        <v>49</v>
      </c>
      <c r="AA11" s="705">
        <f>P22</f>
        <v>9.8000000000000007</v>
      </c>
      <c r="AB11" s="700">
        <f>'4b-Rating Rationale (2)'!D20</f>
        <v>5</v>
      </c>
      <c r="AC11" s="705">
        <f>N23</f>
        <v>49</v>
      </c>
      <c r="AD11" s="710">
        <f>P23</f>
        <v>9.8000000000000007</v>
      </c>
      <c r="AE11" s="714">
        <f>'4c-Rating Rationale (3)'!D20</f>
        <v>0</v>
      </c>
      <c r="AF11" s="708">
        <f>N24</f>
        <v>0</v>
      </c>
      <c r="AG11" s="708">
        <f>P24</f>
        <v>0</v>
      </c>
      <c r="AH11" s="700">
        <f>'4d-Rating Rationale (4)'!D20</f>
        <v>0</v>
      </c>
      <c r="AI11" s="706">
        <f>N25</f>
        <v>0</v>
      </c>
      <c r="AJ11" s="707">
        <f>P25</f>
        <v>0</v>
      </c>
      <c r="AL11" s="408" t="str">
        <f t="shared" si="2"/>
        <v>친환경성</v>
      </c>
      <c r="AM11" s="408">
        <f t="shared" si="3"/>
        <v>5</v>
      </c>
      <c r="AN11" s="408">
        <f t="shared" si="1"/>
        <v>5</v>
      </c>
    </row>
    <row r="12" spans="1:45" ht="12.6" customHeight="1">
      <c r="A12" s="818"/>
      <c r="B12" s="952"/>
      <c r="C12" s="647" t="s">
        <v>118</v>
      </c>
      <c r="D12" s="665" t="str">
        <f>IF(AND((D$5&gt;=1),(D$5&lt;'6a-Hierarchy'!$F$12))," ",IF(D$5='6a-Hierarchy'!$F$12,D$5,""))</f>
        <v/>
      </c>
      <c r="E12" s="650" t="str">
        <f>IF(AND((E$5&gt;=1),(E$5&lt;'6a-Hierarchy'!$F$12))," ",IF(E$5='6a-Hierarchy'!$F$12,E$5,""))</f>
        <v/>
      </c>
      <c r="F12" s="650" t="str">
        <f>IF(AND((F$5&gt;=1),(F$5&lt;'6a-Hierarchy'!$F$12))," ",IF(F$5='6a-Hierarchy'!$F$12,F$5,""))</f>
        <v/>
      </c>
      <c r="G12" s="650" t="str">
        <f>IF(AND((G$5&gt;=1),(G$5&lt;'6a-Hierarchy'!$F$12))," ",IF(G$5='6a-Hierarchy'!$F$12,G$5,""))</f>
        <v/>
      </c>
      <c r="H12" s="650" t="str">
        <f>IF(AND((H$5&gt;=1),(H$5&lt;'6a-Hierarchy'!$F$12))," ",IF(H$5='6a-Hierarchy'!$F$12,H$5,""))</f>
        <v/>
      </c>
      <c r="I12" s="650" t="str">
        <f>IF(AND((I$5&gt;=1),(I$5&lt;'6a-Hierarchy'!$F$12))," ",IF(I$5='6a-Hierarchy'!$F$12,I$5,""))</f>
        <v/>
      </c>
      <c r="J12" s="650" t="str">
        <f>IF(AND((J$5&gt;=1),(J$5&lt;'6a-Hierarchy'!$F$12))," ",IF(J$5='6a-Hierarchy'!$F$12,J$5,""))</f>
        <v/>
      </c>
      <c r="K12" s="650" t="str">
        <f>IF(AND((K$5&gt;=1),(K$5&lt;'6a-Hierarchy'!$F$12))," ",IF(K$5='6a-Hierarchy'!$F$12,K$5,""))</f>
        <v/>
      </c>
      <c r="L12" s="650" t="str">
        <f>IF(AND((L$5&gt;=1),(L$5&lt;'6a-Hierarchy'!$F$12))," ",IF(L$5='6a-Hierarchy'!$F$12,L$5,""))</f>
        <v/>
      </c>
      <c r="M12" s="652" t="str">
        <f>IF(AND((M$5&gt;=1),(M$5&lt;'6a-Hierarchy'!$F$12))," ",IF(M$5='6a-Hierarchy'!$F$12,M$5,""))</f>
        <v/>
      </c>
      <c r="N12" s="653">
        <f>$B$10*SUM(D12:M12)</f>
        <v>0</v>
      </c>
      <c r="O12" s="645"/>
      <c r="P12" s="664">
        <f t="shared" si="0"/>
        <v>0</v>
      </c>
      <c r="R12" s="646"/>
      <c r="S12" s="646"/>
      <c r="T12" s="606"/>
      <c r="V12" s="931"/>
      <c r="W12" s="701" t="str">
        <f>A26</f>
        <v>배수성</v>
      </c>
      <c r="X12" s="702">
        <f>B26/100</f>
        <v>0.109</v>
      </c>
      <c r="Y12" s="700">
        <f>'4a-Rating Rationale (1)'!D24</f>
        <v>5</v>
      </c>
      <c r="Z12" s="705">
        <f>N26</f>
        <v>54.5</v>
      </c>
      <c r="AA12" s="705">
        <f>P26</f>
        <v>10.9</v>
      </c>
      <c r="AB12" s="700">
        <f>'4b-Rating Rationale (2)'!D24</f>
        <v>5</v>
      </c>
      <c r="AC12" s="705">
        <f>N27</f>
        <v>54.5</v>
      </c>
      <c r="AD12" s="710">
        <f>P27</f>
        <v>10.9</v>
      </c>
      <c r="AE12" s="714">
        <f>'4c-Rating Rationale (3)'!D24</f>
        <v>0</v>
      </c>
      <c r="AF12" s="708">
        <f>N28</f>
        <v>0</v>
      </c>
      <c r="AG12" s="708">
        <f>P28</f>
        <v>0</v>
      </c>
      <c r="AH12" s="700">
        <f>'4d-Rating Rationale (4)'!D24</f>
        <v>0</v>
      </c>
      <c r="AI12" s="706">
        <f>N29</f>
        <v>0</v>
      </c>
      <c r="AJ12" s="707">
        <f>P29</f>
        <v>0</v>
      </c>
      <c r="AL12" s="408" t="str">
        <f t="shared" si="2"/>
        <v>배수성</v>
      </c>
      <c r="AM12" s="408">
        <f t="shared" si="3"/>
        <v>5</v>
      </c>
      <c r="AN12" s="408">
        <f t="shared" si="1"/>
        <v>5</v>
      </c>
    </row>
    <row r="13" spans="1:45" ht="12.6" customHeight="1">
      <c r="A13" s="819"/>
      <c r="B13" s="952"/>
      <c r="C13" s="647" t="s">
        <v>117</v>
      </c>
      <c r="D13" s="655" t="str">
        <f>IF(AND((D$5&gt;=1),(D$5&lt;'6a-Hierarchy'!$G$12))," ",IF(D$5='6a-Hierarchy'!$G$12,D$5,""))</f>
        <v/>
      </c>
      <c r="E13" s="656" t="str">
        <f>IF(AND((E$5&gt;=1),(E$5&lt;'6a-Hierarchy'!$G$12))," ",IF(E$5='6a-Hierarchy'!$G$12,E$5,""))</f>
        <v/>
      </c>
      <c r="F13" s="656" t="str">
        <f>IF(AND((F$5&gt;=1),(F$5&lt;'6a-Hierarchy'!$G$12))," ",IF(F$5='6a-Hierarchy'!$G$12,F$5,""))</f>
        <v/>
      </c>
      <c r="G13" s="650" t="str">
        <f>IF(AND((G$5&gt;=1),(G$5&lt;'6a-Hierarchy'!$G$12))," ",IF(G$5='6a-Hierarchy'!$G$12,G$5,""))</f>
        <v/>
      </c>
      <c r="H13" s="656" t="str">
        <f>IF(AND((H$5&gt;=1),(H$5&lt;'6a-Hierarchy'!$G$12))," ",IF(H$5='6a-Hierarchy'!$G$12,H$5,""))</f>
        <v/>
      </c>
      <c r="I13" s="642" t="str">
        <f>IF(AND((I$5&gt;=1),(I$5&lt;'6a-Hierarchy'!$G$12))," ",IF(I$5='6a-Hierarchy'!$G$12,I$5,""))</f>
        <v/>
      </c>
      <c r="J13" s="642" t="str">
        <f>IF(AND((J$5&gt;=1),(J$5&lt;'6a-Hierarchy'!$G$12))," ",IF(J$5='6a-Hierarchy'!$G$12,J$5,""))</f>
        <v/>
      </c>
      <c r="K13" s="642" t="str">
        <f>IF(AND((K$5&gt;=1),(K$5&lt;'6a-Hierarchy'!$G$12))," ",IF(K$5='6a-Hierarchy'!$G$12,K$5,""))</f>
        <v/>
      </c>
      <c r="L13" s="642" t="str">
        <f>IF(AND((L$5&gt;=1),(L$5&lt;'6a-Hierarchy'!$G$12))," ",IF(L$5='6a-Hierarchy'!$G$12,L$5,""))</f>
        <v/>
      </c>
      <c r="M13" s="657" t="str">
        <f>IF(AND((M$5&gt;=1),(M$5&lt;'6a-Hierarchy'!$G$12))," ",IF(M$5='6a-Hierarchy'!$G$12,M$5,""))</f>
        <v/>
      </c>
      <c r="N13" s="653">
        <f>$B$10*SUM(D13:M13)</f>
        <v>0</v>
      </c>
      <c r="O13" s="645"/>
      <c r="P13" s="664">
        <f t="shared" si="0"/>
        <v>0</v>
      </c>
      <c r="R13" s="646"/>
      <c r="S13" s="646"/>
      <c r="T13" s="606"/>
      <c r="V13" s="931"/>
      <c r="W13" s="701" t="str">
        <f>A30</f>
        <v>교통안전성</v>
      </c>
      <c r="X13" s="702">
        <f>B30/100</f>
        <v>0.11799999999999999</v>
      </c>
      <c r="Y13" s="700">
        <f>'4a-Rating Rationale (1)'!D28</f>
        <v>5</v>
      </c>
      <c r="Z13" s="705">
        <f>N30</f>
        <v>58.999999999999993</v>
      </c>
      <c r="AA13" s="705">
        <f>P30</f>
        <v>11.799999999999999</v>
      </c>
      <c r="AB13" s="700">
        <f>'4b-Rating Rationale (2)'!D28</f>
        <v>5</v>
      </c>
      <c r="AC13" s="705">
        <f>N31</f>
        <v>58.999999999999993</v>
      </c>
      <c r="AD13" s="710">
        <f>P31</f>
        <v>11.799999999999999</v>
      </c>
      <c r="AE13" s="714">
        <f>'4c-Rating Rationale (3)'!D28</f>
        <v>0</v>
      </c>
      <c r="AF13" s="708">
        <f>N32</f>
        <v>0</v>
      </c>
      <c r="AG13" s="708">
        <f>P32</f>
        <v>0</v>
      </c>
      <c r="AH13" s="700">
        <f>'4d-Rating Rationale (4)'!D28</f>
        <v>0</v>
      </c>
      <c r="AI13" s="706">
        <f>N33</f>
        <v>0</v>
      </c>
      <c r="AJ13" s="707">
        <f>P33</f>
        <v>0</v>
      </c>
      <c r="AL13" s="408" t="str">
        <f t="shared" si="2"/>
        <v>교통안전성</v>
      </c>
      <c r="AM13" s="408">
        <f t="shared" si="3"/>
        <v>5</v>
      </c>
      <c r="AN13" s="408">
        <f t="shared" si="1"/>
        <v>5</v>
      </c>
    </row>
    <row r="14" spans="1:45" ht="12.6" customHeight="1">
      <c r="A14" s="953" t="str">
        <f>'1a-Performance'!A7</f>
        <v>내구성</v>
      </c>
      <c r="B14" s="952">
        <f>'3a-Attribute Rating(A)'!P8*100</f>
        <v>12.9</v>
      </c>
      <c r="C14" s="658" t="s">
        <v>69</v>
      </c>
      <c r="D14" s="659" t="str">
        <f>IF(AND((D$5&gt;=1),(D$5&lt;'6a-Hierarchy'!$D$16))," ",IF(D$5='6a-Hierarchy'!$D$16,D$5,""))</f>
        <v xml:space="preserve"> </v>
      </c>
      <c r="E14" s="660" t="str">
        <f>IF(AND((E$5&gt;=1),(E$5&lt;'6a-Hierarchy'!$D$16))," ",IF(E$5='6a-Hierarchy'!$D$16,E$5,""))</f>
        <v xml:space="preserve"> </v>
      </c>
      <c r="F14" s="660" t="str">
        <f>IF(AND((F$5&gt;=1),(F$5&lt;'6a-Hierarchy'!$D$16))," ",IF(F$5='6a-Hierarchy'!$D$16,F$5,""))</f>
        <v xml:space="preserve"> </v>
      </c>
      <c r="G14" s="660" t="str">
        <f>IF(AND((G$5&gt;=1),(G$5&lt;'6a-Hierarchy'!$D$16))," ",IF(G$5='6a-Hierarchy'!$D$16,G$5,""))</f>
        <v xml:space="preserve"> </v>
      </c>
      <c r="H14" s="660">
        <f>IF(AND((H$5&gt;=1),(H$5&lt;'6a-Hierarchy'!$D$16))," ",IF(H$5='6a-Hierarchy'!$D$16,H$5,""))</f>
        <v>5</v>
      </c>
      <c r="I14" s="661" t="str">
        <f>IF(AND((I$5&gt;=1),(I$5&lt;'6a-Hierarchy'!$D$16))," ",IF(I$5='6a-Hierarchy'!$D$16,I$5,""))</f>
        <v/>
      </c>
      <c r="J14" s="661" t="str">
        <f>IF(AND((J$5&gt;=1),(J$5&lt;'6a-Hierarchy'!$D$16))," ",IF(J$5='6a-Hierarchy'!$D$16,J$5,""))</f>
        <v/>
      </c>
      <c r="K14" s="661" t="str">
        <f>IF(AND((K$5&gt;=1),(K$5&lt;'6a-Hierarchy'!$D$16))," ",IF(K$5='6a-Hierarchy'!$D$16,K$5,""))</f>
        <v/>
      </c>
      <c r="L14" s="661" t="str">
        <f>IF(AND((L$5&gt;=1),(L$5&lt;'6a-Hierarchy'!$D$16))," ",IF(L$5='6a-Hierarchy'!$D$16,L$5,""))</f>
        <v/>
      </c>
      <c r="M14" s="662" t="str">
        <f>IF(AND((M$5&gt;=1),(M$5&lt;'6a-Hierarchy'!$D$16))," ",IF(M$5='6a-Hierarchy'!$D$16,M$5,""))</f>
        <v/>
      </c>
      <c r="N14" s="663">
        <f>$B$14*SUM(D14:M14)</f>
        <v>64.5</v>
      </c>
      <c r="O14" s="645"/>
      <c r="P14" s="645">
        <f t="shared" si="0"/>
        <v>12.9</v>
      </c>
      <c r="R14" s="646"/>
      <c r="S14" s="646"/>
      <c r="T14" s="606"/>
      <c r="V14" s="931"/>
      <c r="W14" s="701" t="str">
        <f>A34</f>
        <v>민원성</v>
      </c>
      <c r="X14" s="702">
        <f>B34/100</f>
        <v>0.124</v>
      </c>
      <c r="Y14" s="700">
        <f>'4a-Rating Rationale (1)'!D32</f>
        <v>5</v>
      </c>
      <c r="Z14" s="705">
        <f>N34</f>
        <v>62</v>
      </c>
      <c r="AA14" s="705">
        <f>P34</f>
        <v>12.4</v>
      </c>
      <c r="AB14" s="700">
        <f>'4b-Rating Rationale (2)'!D32</f>
        <v>6</v>
      </c>
      <c r="AC14" s="705">
        <f>N35</f>
        <v>74.400000000000006</v>
      </c>
      <c r="AD14" s="710">
        <f>P35</f>
        <v>14.880000000000003</v>
      </c>
      <c r="AE14" s="714">
        <f>'4c-Rating Rationale (3)'!D32</f>
        <v>0</v>
      </c>
      <c r="AF14" s="708">
        <f>N36</f>
        <v>0</v>
      </c>
      <c r="AG14" s="708">
        <f>P36</f>
        <v>0</v>
      </c>
      <c r="AH14" s="700">
        <f>'4d-Rating Rationale (4)'!D32</f>
        <v>0</v>
      </c>
      <c r="AI14" s="706">
        <f>N37</f>
        <v>0</v>
      </c>
      <c r="AJ14" s="707">
        <f>P37</f>
        <v>0</v>
      </c>
      <c r="AL14" s="408" t="str">
        <f t="shared" si="2"/>
        <v>민원성</v>
      </c>
      <c r="AM14" s="408">
        <f t="shared" si="3"/>
        <v>5</v>
      </c>
      <c r="AN14" s="408">
        <f t="shared" si="1"/>
        <v>6</v>
      </c>
    </row>
    <row r="15" spans="1:45" ht="12.6" customHeight="1">
      <c r="A15" s="950"/>
      <c r="B15" s="952"/>
      <c r="C15" s="647" t="s">
        <v>253</v>
      </c>
      <c r="D15" s="648" t="str">
        <f>IF(AND((D$5&gt;=1),(D$5&lt;'6a-Hierarchy'!$E$16))," ",IF(D$5='6a-Hierarchy'!$E$16,D$5,""))</f>
        <v xml:space="preserve"> </v>
      </c>
      <c r="E15" s="649" t="str">
        <f>IF(AND((E$5&gt;=1),(E$5&lt;'6a-Hierarchy'!$E$16))," ",IF(E$5='6a-Hierarchy'!$E$16,E$5,""))</f>
        <v xml:space="preserve"> </v>
      </c>
      <c r="F15" s="649" t="str">
        <f>IF(AND((F$5&gt;=1),(F$5&lt;'6a-Hierarchy'!$E$16))," ",IF(F$5='6a-Hierarchy'!$E$16,F$5,""))</f>
        <v xml:space="preserve"> </v>
      </c>
      <c r="G15" s="649" t="str">
        <f>IF(AND((G$5&gt;=1),(G$5&lt;'6a-Hierarchy'!$E$16))," ",IF(G$5='6a-Hierarchy'!$E$16,G$5,""))</f>
        <v xml:space="preserve"> </v>
      </c>
      <c r="H15" s="650" t="str">
        <f>IF(AND((H$5&gt;=1),(H$5&lt;'6a-Hierarchy'!$E$16))," ",IF(H$5='6a-Hierarchy'!$E$16,H$5,""))</f>
        <v xml:space="preserve"> </v>
      </c>
      <c r="I15" s="650" t="str">
        <f>IF(AND((I$5&gt;=1),(I$5&lt;'6a-Hierarchy'!$E$16))," ",IF(I$5='6a-Hierarchy'!$E$16,I$5,""))</f>
        <v xml:space="preserve"> </v>
      </c>
      <c r="J15" s="650" t="str">
        <f>IF(AND((J$5&gt;=1),(J$5&lt;'6a-Hierarchy'!$E$16))," ",IF(J$5='6a-Hierarchy'!$E$16,J$5,""))</f>
        <v xml:space="preserve"> </v>
      </c>
      <c r="K15" s="650" t="str">
        <f>IF(AND((K$5&gt;=1),(K$5&lt;'6a-Hierarchy'!$E$16))," ",IF(K$5='6a-Hierarchy'!$E$16,K$5,""))</f>
        <v xml:space="preserve"> </v>
      </c>
      <c r="L15" s="650" t="str">
        <f>IF(AND((L$5&gt;=1),(L$5&lt;'6a-Hierarchy'!$E$16))," ",IF(L$5='6a-Hierarchy'!$E$16,L$5,""))</f>
        <v xml:space="preserve"> </v>
      </c>
      <c r="M15" s="652">
        <f>IF(AND((M$5&gt;=1),(M$5&lt;'6a-Hierarchy'!$E$16))," ",IF(M$5='6a-Hierarchy'!$E$16,M$5,""))</f>
        <v>10</v>
      </c>
      <c r="N15" s="653">
        <f>$B$14*SUM(D15:M15)</f>
        <v>129</v>
      </c>
      <c r="O15" s="645"/>
      <c r="P15" s="645">
        <f t="shared" si="0"/>
        <v>25.8</v>
      </c>
      <c r="R15" s="646"/>
      <c r="S15" s="646"/>
      <c r="T15" s="606"/>
      <c r="V15" s="931"/>
      <c r="W15" s="701" t="s">
        <v>393</v>
      </c>
      <c r="X15" s="702">
        <f t="shared" ref="X15:AJ15" si="5">SUM(X7:X14)</f>
        <v>0.99999999999999989</v>
      </c>
      <c r="Y15" s="700">
        <f t="shared" si="5"/>
        <v>40</v>
      </c>
      <c r="Z15" s="705">
        <f t="shared" si="5"/>
        <v>500</v>
      </c>
      <c r="AA15" s="705">
        <f t="shared" si="5"/>
        <v>100.00000000000001</v>
      </c>
      <c r="AB15" s="700">
        <f t="shared" si="5"/>
        <v>46</v>
      </c>
      <c r="AC15" s="705">
        <f t="shared" si="5"/>
        <v>574.79999999999995</v>
      </c>
      <c r="AD15" s="705">
        <f t="shared" si="5"/>
        <v>114.96000000000001</v>
      </c>
      <c r="AE15" s="712">
        <f t="shared" si="5"/>
        <v>0</v>
      </c>
      <c r="AF15" s="709">
        <f t="shared" si="5"/>
        <v>0</v>
      </c>
      <c r="AG15" s="706">
        <f t="shared" si="5"/>
        <v>0</v>
      </c>
      <c r="AH15" s="712">
        <f t="shared" si="5"/>
        <v>0</v>
      </c>
      <c r="AI15" s="709">
        <f t="shared" si="5"/>
        <v>0</v>
      </c>
      <c r="AJ15" s="706">
        <f t="shared" si="5"/>
        <v>0</v>
      </c>
      <c r="AL15" s="408" t="str">
        <f t="shared" si="2"/>
        <v>합계</v>
      </c>
      <c r="AM15" s="408">
        <f t="shared" si="3"/>
        <v>40</v>
      </c>
      <c r="AN15" s="408">
        <f t="shared" si="1"/>
        <v>46</v>
      </c>
    </row>
    <row r="16" spans="1:45" ht="12.6" customHeight="1">
      <c r="A16" s="950"/>
      <c r="B16" s="952"/>
      <c r="C16" s="647" t="s">
        <v>118</v>
      </c>
      <c r="D16" s="665" t="str">
        <f>IF(AND((D$5&gt;=1),(D$5&lt;'6a-Hierarchy'!$F$16))," ",IF(D$5='6a-Hierarchy'!$F$16,D$5,""))</f>
        <v/>
      </c>
      <c r="E16" s="650" t="str">
        <f>IF(AND((E$5&gt;=1),(E$5&lt;'6a-Hierarchy'!$F$16))," ",IF(E$5='6a-Hierarchy'!$F$16,E$5,""))</f>
        <v/>
      </c>
      <c r="F16" s="650" t="str">
        <f>IF(AND((F$5&gt;=1),(F$5&lt;'6a-Hierarchy'!$F$16))," ",IF(F$5='6a-Hierarchy'!$F$16,F$5,""))</f>
        <v/>
      </c>
      <c r="G16" s="650" t="str">
        <f>IF(AND((G$5&gt;=1),(G$5&lt;'6a-Hierarchy'!$F$16))," ",IF(G$5='6a-Hierarchy'!$F$16,G$5,""))</f>
        <v/>
      </c>
      <c r="H16" s="650" t="str">
        <f>IF(AND((H$5&gt;=1),(H$5&lt;'6a-Hierarchy'!$F$16))," ",IF(H$5='6a-Hierarchy'!$F$16,H$5,""))</f>
        <v/>
      </c>
      <c r="I16" s="650" t="str">
        <f>IF(AND((I$5&gt;=1),(I$5&lt;'6a-Hierarchy'!$F$16))," ",IF(I$5='6a-Hierarchy'!$F$16,I$5,""))</f>
        <v/>
      </c>
      <c r="J16" s="650" t="str">
        <f>IF(AND((J$5&gt;=1),(J$5&lt;'6a-Hierarchy'!$F$16))," ",IF(J$5='6a-Hierarchy'!$F$16,J$5,""))</f>
        <v/>
      </c>
      <c r="K16" s="650" t="str">
        <f>IF(AND((K$5&gt;=1),(K$5&lt;'6a-Hierarchy'!$F$16))," ",IF(K$5='6a-Hierarchy'!$F$16,K$5,""))</f>
        <v/>
      </c>
      <c r="L16" s="650" t="str">
        <f>IF(AND((L$5&gt;=1),(L$5&lt;'6a-Hierarchy'!$F$16))," ",IF(L$5='6a-Hierarchy'!$F$16,L$5,""))</f>
        <v/>
      </c>
      <c r="M16" s="652" t="str">
        <f>IF(AND((M$5&gt;=1),(M$5&lt;'6a-Hierarchy'!$F$16))," ",IF(M$5='6a-Hierarchy'!$F$16,M$5,""))</f>
        <v/>
      </c>
      <c r="N16" s="653">
        <f>$B$14*SUM(D16:M16)</f>
        <v>0</v>
      </c>
      <c r="O16" s="645"/>
      <c r="P16" s="645">
        <f t="shared" si="0"/>
        <v>0</v>
      </c>
      <c r="R16" s="646"/>
      <c r="S16" s="646"/>
      <c r="T16" s="606"/>
      <c r="V16" s="933" t="s">
        <v>380</v>
      </c>
      <c r="W16" s="934" t="s">
        <v>381</v>
      </c>
      <c r="X16" s="935"/>
      <c r="Y16" s="924">
        <f>'5c-Life Cycle Cost (1)'!L15</f>
        <v>1490.11</v>
      </c>
      <c r="Z16" s="925"/>
      <c r="AA16" s="926"/>
      <c r="AB16" s="924">
        <f>'5c-Life Cycle Cost (1)'!M15</f>
        <v>1516.11</v>
      </c>
      <c r="AC16" s="925"/>
      <c r="AD16" s="926"/>
      <c r="AE16" s="924">
        <f>'5c-Life Cycle Cost (1)'!N15</f>
        <v>0</v>
      </c>
      <c r="AF16" s="925"/>
      <c r="AG16" s="926"/>
      <c r="AH16" s="924">
        <f>'5c-Life Cycle Cost (1)'!O15</f>
        <v>0</v>
      </c>
      <c r="AI16" s="925"/>
      <c r="AJ16" s="925"/>
    </row>
    <row r="17" spans="1:40" ht="12.6" customHeight="1">
      <c r="A17" s="950"/>
      <c r="B17" s="952"/>
      <c r="C17" s="647" t="s">
        <v>117</v>
      </c>
      <c r="D17" s="655" t="str">
        <f>IF(AND((D$5&gt;=1),(D$5&lt;'6a-Hierarchy'!$G$16))," ",IF(D$5='6a-Hierarchy'!$G$16,D$5,""))</f>
        <v/>
      </c>
      <c r="E17" s="656" t="str">
        <f>IF(AND((E$5&gt;=1),(E$5&lt;'6a-Hierarchy'!$G$16))," ",IF(E$5='6a-Hierarchy'!$G$16,E$5,""))</f>
        <v/>
      </c>
      <c r="F17" s="656" t="str">
        <f>IF(AND((F$5&gt;=1),(F$5&lt;'6a-Hierarchy'!$G$16))," ",IF(F$5='6a-Hierarchy'!$G$16,F$5,""))</f>
        <v/>
      </c>
      <c r="G17" s="650" t="str">
        <f>IF(AND((G$5&gt;=1),(G$5&lt;'6a-Hierarchy'!$G$16))," ",IF(G$5='6a-Hierarchy'!$G$16,G$5,""))</f>
        <v/>
      </c>
      <c r="H17" s="656" t="str">
        <f>IF(AND((H$5&gt;=1),(H$5&lt;'6a-Hierarchy'!$G$16))," ",IF(H$5='6a-Hierarchy'!$G$16,H$5,""))</f>
        <v/>
      </c>
      <c r="I17" s="642" t="str">
        <f>IF(AND((I$5&gt;=1),(I$5&lt;'6a-Hierarchy'!$G$16))," ",IF(I$5='6a-Hierarchy'!$G$16,I$5,""))</f>
        <v/>
      </c>
      <c r="J17" s="642" t="str">
        <f>IF(AND((J$5&gt;=1),(J$5&lt;'6a-Hierarchy'!$G$16))," ",IF(J$5='6a-Hierarchy'!$G$16,J$5,""))</f>
        <v/>
      </c>
      <c r="K17" s="642" t="str">
        <f>IF(AND((K$5&gt;=1),(K$5&lt;'6a-Hierarchy'!$G$16))," ",IF(K$5='6a-Hierarchy'!$G$16,K$5,""))</f>
        <v/>
      </c>
      <c r="L17" s="642" t="str">
        <f>IF(AND((L$5&gt;=1),(L$5&lt;'6a-Hierarchy'!$G$16))," ",IF(L$5='6a-Hierarchy'!$G$16,L$5,""))</f>
        <v/>
      </c>
      <c r="M17" s="657" t="str">
        <f>IF(AND((M$5&gt;=1),(M$5&lt;'6a-Hierarchy'!$G$16))," ",IF(M$5='6a-Hierarchy'!$G$16,M$5,""))</f>
        <v/>
      </c>
      <c r="N17" s="653">
        <f>$B$14*SUM(D17:M17)</f>
        <v>0</v>
      </c>
      <c r="O17" s="645"/>
      <c r="P17" s="645">
        <f t="shared" si="0"/>
        <v>0</v>
      </c>
      <c r="R17" s="646"/>
      <c r="S17" s="646"/>
      <c r="T17" s="606"/>
      <c r="V17" s="931"/>
      <c r="W17" s="934" t="s">
        <v>382</v>
      </c>
      <c r="X17" s="935"/>
      <c r="Y17" s="924">
        <f>'5c-Life Cycle Cost (1)'!L16</f>
        <v>306.27986244400887</v>
      </c>
      <c r="Z17" s="925"/>
      <c r="AA17" s="926"/>
      <c r="AB17" s="924">
        <f>'5c-Life Cycle Cost (1)'!M16</f>
        <v>94.091153257846912</v>
      </c>
      <c r="AC17" s="925"/>
      <c r="AD17" s="926"/>
      <c r="AE17" s="924">
        <f>'5c-Life Cycle Cost (1)'!N16</f>
        <v>0</v>
      </c>
      <c r="AF17" s="925"/>
      <c r="AG17" s="926"/>
      <c r="AH17" s="924">
        <f>'5c-Life Cycle Cost (1)'!O16</f>
        <v>0</v>
      </c>
      <c r="AI17" s="925"/>
      <c r="AJ17" s="925"/>
      <c r="AL17" s="716"/>
      <c r="AM17" s="716" t="str">
        <f>Y5</f>
        <v>비교1안(PCC Slab 46cm)</v>
      </c>
      <c r="AN17" s="716" t="str">
        <f>AB5</f>
        <v>비교2안(PCC Slab 50cm)</v>
      </c>
    </row>
    <row r="18" spans="1:40" ht="12.6" customHeight="1">
      <c r="A18" s="953" t="str">
        <f>'1a-Performance'!A8</f>
        <v>이용편의성</v>
      </c>
      <c r="B18" s="952">
        <f>'3a-Attribute Rating(A)'!P9*100</f>
        <v>11.7</v>
      </c>
      <c r="C18" s="658" t="s">
        <v>69</v>
      </c>
      <c r="D18" s="659" t="str">
        <f>IF(AND((D$5&gt;=1),(D$5&lt;'6a-Hierarchy'!$D$20))," ",IF(D$5='6a-Hierarchy'!$D$20,D$5,""))</f>
        <v xml:space="preserve"> </v>
      </c>
      <c r="E18" s="660" t="str">
        <f>IF(AND((E$5&gt;=1),(E$5&lt;'6a-Hierarchy'!$D$20))," ",IF(E$5='6a-Hierarchy'!$D$20,E$5,""))</f>
        <v xml:space="preserve"> </v>
      </c>
      <c r="F18" s="660" t="str">
        <f>IF(AND((F$5&gt;=1),(F$5&lt;'6a-Hierarchy'!$D$20))," ",IF(F$5='6a-Hierarchy'!$D$20,F$5,""))</f>
        <v xml:space="preserve"> </v>
      </c>
      <c r="G18" s="660" t="str">
        <f>IF(AND((G$5&gt;=1),(G$5&lt;'6a-Hierarchy'!$D$20))," ",IF(G$5='6a-Hierarchy'!$D$20,G$5,""))</f>
        <v xml:space="preserve"> </v>
      </c>
      <c r="H18" s="660">
        <f>IF(AND((H$5&gt;=1),(H$5&lt;'6a-Hierarchy'!$D$20))," ",IF(H$5='6a-Hierarchy'!$D$20,H$5,""))</f>
        <v>5</v>
      </c>
      <c r="I18" s="661" t="str">
        <f>IF(AND((I$5&gt;=1),(I$5&lt;'6a-Hierarchy'!$D$20))," ",IF(I$5='6a-Hierarchy'!$D$20,I$5,""))</f>
        <v/>
      </c>
      <c r="J18" s="661" t="str">
        <f>IF(AND((J$5&gt;=1),(J$5&lt;'6a-Hierarchy'!$D$20))," ",IF(J$5='6a-Hierarchy'!$D$20,J$5,""))</f>
        <v/>
      </c>
      <c r="K18" s="661" t="str">
        <f>IF(AND((K$5&gt;=1),(K$5&lt;'6a-Hierarchy'!$D$20))," ",IF(K$5='6a-Hierarchy'!$D$20,K$5,""))</f>
        <v/>
      </c>
      <c r="L18" s="661" t="str">
        <f>IF(AND((L$5&gt;=1),(L$5&lt;'6a-Hierarchy'!$D$20))," ",IF(L$5='6a-Hierarchy'!$D$20,L$5,""))</f>
        <v/>
      </c>
      <c r="M18" s="662" t="str">
        <f>IF(AND((M$5&gt;=1),(M$5&lt;'6a-Hierarchy'!$D$20))," ",IF(M$5='6a-Hierarchy'!$D$20,M$5,""))</f>
        <v/>
      </c>
      <c r="N18" s="663">
        <f>$B$18*SUM(D18:M18)</f>
        <v>58.5</v>
      </c>
      <c r="O18" s="645"/>
      <c r="P18" s="664">
        <f t="shared" si="0"/>
        <v>11.700000000000001</v>
      </c>
      <c r="R18" s="646"/>
      <c r="S18" s="646"/>
      <c r="T18" s="606"/>
      <c r="V18" s="931"/>
      <c r="W18" s="934" t="s">
        <v>383</v>
      </c>
      <c r="X18" s="935"/>
      <c r="Y18" s="927">
        <f>'5c-Life Cycle Cost (1)'!L17</f>
        <v>0</v>
      </c>
      <c r="Z18" s="928"/>
      <c r="AA18" s="929"/>
      <c r="AB18" s="927">
        <f>'5c-Life Cycle Cost (1)'!M17</f>
        <v>0</v>
      </c>
      <c r="AC18" s="928"/>
      <c r="AD18" s="929"/>
      <c r="AE18" s="927">
        <f>'5c-Life Cycle Cost (1)'!N17</f>
        <v>0</v>
      </c>
      <c r="AF18" s="928"/>
      <c r="AG18" s="929"/>
      <c r="AH18" s="927">
        <f>'5c-Life Cycle Cost (1)'!O17</f>
        <v>0</v>
      </c>
      <c r="AI18" s="928"/>
      <c r="AJ18" s="928"/>
      <c r="AL18" s="716" t="s">
        <v>394</v>
      </c>
      <c r="AM18" s="717">
        <f>Y16</f>
        <v>1490.11</v>
      </c>
      <c r="AN18" s="717">
        <f>AB16</f>
        <v>1516.11</v>
      </c>
    </row>
    <row r="19" spans="1:40" ht="12.6" customHeight="1">
      <c r="A19" s="950"/>
      <c r="B19" s="952"/>
      <c r="C19" s="647" t="s">
        <v>253</v>
      </c>
      <c r="D19" s="648" t="str">
        <f>IF(AND((D$5&gt;=1),(D$5&lt;'6a-Hierarchy'!$E$20))," ",IF(D$5='6a-Hierarchy'!$E$20,D$5,""))</f>
        <v xml:space="preserve"> </v>
      </c>
      <c r="E19" s="649" t="str">
        <f>IF(AND((E$5&gt;=1),(E$5&lt;'6a-Hierarchy'!$E$20))," ",IF(E$5='6a-Hierarchy'!$E$20,E$5,""))</f>
        <v xml:space="preserve"> </v>
      </c>
      <c r="F19" s="649" t="str">
        <f>IF(AND((F$5&gt;=1),(F$5&lt;'6a-Hierarchy'!$E$20))," ",IF(F$5='6a-Hierarchy'!$E$20,F$5,""))</f>
        <v xml:space="preserve"> </v>
      </c>
      <c r="G19" s="649" t="str">
        <f>IF(AND((G$5&gt;=1),(G$5&lt;'6a-Hierarchy'!$E$20))," ",IF(G$5='6a-Hierarchy'!$E$20,G$5,""))</f>
        <v xml:space="preserve"> </v>
      </c>
      <c r="H19" s="649">
        <f>IF(AND((H$5&gt;=1),(H$5&lt;'6a-Hierarchy'!$E$20))," ",IF(H$5='6a-Hierarchy'!$E$20,H$5,""))</f>
        <v>5</v>
      </c>
      <c r="I19" s="650" t="str">
        <f>IF(AND((I$5&gt;=1),(I$5&lt;'6a-Hierarchy'!$E$20))," ",IF(I$5='6a-Hierarchy'!$E$20,I$5,""))</f>
        <v/>
      </c>
      <c r="J19" s="650" t="str">
        <f>IF(AND((J$5&gt;=1),(J$5&lt;'6a-Hierarchy'!$E$20))," ",IF(J$5='6a-Hierarchy'!$E$20,J$5,""))</f>
        <v/>
      </c>
      <c r="K19" s="650" t="str">
        <f>IF(AND((K$5&gt;=1),(K$5&lt;'6a-Hierarchy'!$E$20))," ",IF(K$5='6a-Hierarchy'!$E$20,K$5,""))</f>
        <v/>
      </c>
      <c r="L19" s="650" t="str">
        <f>IF(AND((L$5&gt;=1),(L$5&lt;'6a-Hierarchy'!$E$20))," ",IF(L$5='6a-Hierarchy'!$E$20,L$5,""))</f>
        <v/>
      </c>
      <c r="M19" s="652" t="str">
        <f>IF(AND((M$5&gt;=1),(M$5&lt;'6a-Hierarchy'!$E$20))," ",IF(M$5='6a-Hierarchy'!$E$20,M$5,""))</f>
        <v/>
      </c>
      <c r="N19" s="653">
        <f>$B$18*SUM(D19:M19)</f>
        <v>58.5</v>
      </c>
      <c r="O19" s="645"/>
      <c r="P19" s="664">
        <f t="shared" si="0"/>
        <v>11.700000000000001</v>
      </c>
      <c r="R19" s="646"/>
      <c r="S19" s="646"/>
      <c r="T19" s="606"/>
      <c r="V19" s="931"/>
      <c r="W19" s="934" t="s">
        <v>384</v>
      </c>
      <c r="X19" s="935"/>
      <c r="Y19" s="924">
        <f>'5c-Life Cycle Cost (1)'!L18</f>
        <v>1796.3898624440087</v>
      </c>
      <c r="Z19" s="925"/>
      <c r="AA19" s="926"/>
      <c r="AB19" s="924">
        <f>'5c-Life Cycle Cost (1)'!M18</f>
        <v>1610.2011532578467</v>
      </c>
      <c r="AC19" s="925"/>
      <c r="AD19" s="926"/>
      <c r="AE19" s="924">
        <f>'5c-Life Cycle Cost (1)'!N18</f>
        <v>0</v>
      </c>
      <c r="AF19" s="925"/>
      <c r="AG19" s="926"/>
      <c r="AH19" s="924">
        <f>'5c-Life Cycle Cost (1)'!O18</f>
        <v>0</v>
      </c>
      <c r="AI19" s="925"/>
      <c r="AJ19" s="925"/>
      <c r="AL19" s="716" t="s">
        <v>395</v>
      </c>
      <c r="AM19" s="717">
        <f>Y17</f>
        <v>306.27986244400887</v>
      </c>
      <c r="AN19" s="717">
        <f>AB17</f>
        <v>94.091153257846912</v>
      </c>
    </row>
    <row r="20" spans="1:40" ht="12.6" customHeight="1">
      <c r="A20" s="950"/>
      <c r="B20" s="952"/>
      <c r="C20" s="647" t="s">
        <v>118</v>
      </c>
      <c r="D20" s="665" t="str">
        <f>IF(AND((D$5&gt;=1),(D$5&lt;'6a-Hierarchy'!$F$20))," ",IF(D$5='6a-Hierarchy'!$F$20,D$5,""))</f>
        <v/>
      </c>
      <c r="E20" s="650" t="str">
        <f>IF(AND((E$5&gt;=1),(E$5&lt;'6a-Hierarchy'!$F$20))," ",IF(E$5='6a-Hierarchy'!$F$20,E$5,""))</f>
        <v/>
      </c>
      <c r="F20" s="650" t="str">
        <f>IF(AND((F$5&gt;=1),(F$5&lt;'6a-Hierarchy'!$F$20))," ",IF(F$5='6a-Hierarchy'!$F$20,F$5,""))</f>
        <v/>
      </c>
      <c r="G20" s="650" t="str">
        <f>IF(AND((G$5&gt;=1),(G$5&lt;'6a-Hierarchy'!$F$20))," ",IF(G$5='6a-Hierarchy'!$F$20,G$5,""))</f>
        <v/>
      </c>
      <c r="H20" s="650" t="str">
        <f>IF(AND((H$5&gt;=1),(H$5&lt;'6a-Hierarchy'!$F$20))," ",IF(H$5='6a-Hierarchy'!$F$20,H$5,""))</f>
        <v/>
      </c>
      <c r="I20" s="650" t="str">
        <f>IF(AND((I$5&gt;=1),(I$5&lt;'6a-Hierarchy'!$F$20))," ",IF(I$5='6a-Hierarchy'!$F$20,I$5,""))</f>
        <v/>
      </c>
      <c r="J20" s="650" t="str">
        <f>IF(AND((J$5&gt;=1),(J$5&lt;'6a-Hierarchy'!$F$20))," ",IF(J$5='6a-Hierarchy'!$F$20,J$5,""))</f>
        <v/>
      </c>
      <c r="K20" s="650" t="str">
        <f>IF(AND((K$5&gt;=1),(K$5&lt;'6a-Hierarchy'!$F$20))," ",IF(K$5='6a-Hierarchy'!$F$20,K$5,""))</f>
        <v/>
      </c>
      <c r="L20" s="650" t="str">
        <f>IF(AND((L$5&gt;=1),(L$5&lt;'6a-Hierarchy'!$F$20))," ",IF(L$5='6a-Hierarchy'!$F$20,L$5,""))</f>
        <v/>
      </c>
      <c r="M20" s="652" t="str">
        <f>IF(AND((M$5&gt;=1),(M$5&lt;'6a-Hierarchy'!$F$20))," ",IF(M$5='6a-Hierarchy'!$F$20,M$5,""))</f>
        <v/>
      </c>
      <c r="N20" s="653">
        <f>$B$18*SUM(D20:M20)</f>
        <v>0</v>
      </c>
      <c r="O20" s="645"/>
      <c r="P20" s="664">
        <f t="shared" si="0"/>
        <v>0</v>
      </c>
      <c r="R20" s="646"/>
      <c r="S20" s="646"/>
      <c r="T20" s="606"/>
      <c r="V20" s="931"/>
      <c r="W20" s="934" t="s">
        <v>385</v>
      </c>
      <c r="X20" s="935"/>
      <c r="Y20" s="918">
        <f>J50</f>
        <v>1</v>
      </c>
      <c r="Z20" s="919"/>
      <c r="AA20" s="920"/>
      <c r="AB20" s="918">
        <f>J51</f>
        <v>0.89635395240270943</v>
      </c>
      <c r="AC20" s="919"/>
      <c r="AD20" s="920"/>
      <c r="AE20" s="918">
        <f>J52</f>
        <v>0</v>
      </c>
      <c r="AF20" s="919"/>
      <c r="AG20" s="920"/>
      <c r="AH20" s="938">
        <f>J53</f>
        <v>0</v>
      </c>
      <c r="AI20" s="916"/>
      <c r="AJ20" s="916"/>
      <c r="AL20" s="408" t="s">
        <v>396</v>
      </c>
      <c r="AM20" s="717">
        <f>Y19</f>
        <v>1796.3898624440087</v>
      </c>
      <c r="AN20" s="717">
        <f>AB19</f>
        <v>1610.2011532578467</v>
      </c>
    </row>
    <row r="21" spans="1:40" ht="12.6" customHeight="1">
      <c r="A21" s="950"/>
      <c r="B21" s="952"/>
      <c r="C21" s="647" t="s">
        <v>117</v>
      </c>
      <c r="D21" s="655" t="str">
        <f>IF(AND((D$5&gt;=1),(D$5&lt;'6a-Hierarchy'!$G$20))," ",IF(D$5='6a-Hierarchy'!$G$20,D$5,""))</f>
        <v/>
      </c>
      <c r="E21" s="656" t="str">
        <f>IF(AND((E$5&gt;=1),(E$5&lt;'6a-Hierarchy'!$G$20))," ",IF(E$5='6a-Hierarchy'!$G$20,E$5,""))</f>
        <v/>
      </c>
      <c r="F21" s="650" t="str">
        <f>IF(AND((F$5&gt;=1),(F$5&lt;'6a-Hierarchy'!$G$20))," ",IF(F$5='6a-Hierarchy'!$G$20,F$5,""))</f>
        <v/>
      </c>
      <c r="G21" s="656" t="str">
        <f>IF(AND((G$5&gt;=1),(G$5&lt;'6a-Hierarchy'!$G$20))," ",IF(G$5='6a-Hierarchy'!$G$20,G$5,""))</f>
        <v/>
      </c>
      <c r="H21" s="656" t="str">
        <f>IF(AND((H$5&gt;=1),(H$5&lt;'6a-Hierarchy'!$G$20))," ",IF(H$5='6a-Hierarchy'!$G$20,H$5,""))</f>
        <v/>
      </c>
      <c r="I21" s="642" t="str">
        <f>IF(AND((I$5&gt;=1),(I$5&lt;'6a-Hierarchy'!$G$20))," ",IF(I$5='6a-Hierarchy'!$G$20,I$5,""))</f>
        <v/>
      </c>
      <c r="J21" s="642" t="str">
        <f>IF(AND((J$5&gt;=1),(J$5&lt;'6a-Hierarchy'!$G$20))," ",IF(J$5='6a-Hierarchy'!$G$20,J$5,""))</f>
        <v/>
      </c>
      <c r="K21" s="642" t="str">
        <f>IF(AND((K$5&gt;=1),(K$5&lt;'6a-Hierarchy'!$G$20))," ",IF(K$5='6a-Hierarchy'!$G$20,K$5,""))</f>
        <v/>
      </c>
      <c r="L21" s="642" t="str">
        <f>IF(AND((L$5&gt;=1),(L$5&lt;'6a-Hierarchy'!$G$20))," ",IF(L$5='6a-Hierarchy'!$G$20,L$5,""))</f>
        <v/>
      </c>
      <c r="M21" s="657" t="str">
        <f>IF(AND((M$5&gt;=1),(M$5&lt;'6a-Hierarchy'!$G$20))," ",IF(M$5='6a-Hierarchy'!$G$20,M$5,""))</f>
        <v/>
      </c>
      <c r="N21" s="653">
        <f>$B$18*SUM(D21:M21)</f>
        <v>0</v>
      </c>
      <c r="O21" s="645"/>
      <c r="P21" s="664">
        <f t="shared" si="0"/>
        <v>0</v>
      </c>
      <c r="R21" s="646"/>
      <c r="S21" s="646"/>
      <c r="T21" s="606"/>
      <c r="U21" s="716" t="s">
        <v>397</v>
      </c>
      <c r="V21" s="933" t="s">
        <v>386</v>
      </c>
      <c r="W21" s="934" t="s">
        <v>387</v>
      </c>
      <c r="X21" s="935"/>
      <c r="Y21" s="915">
        <f>H50</f>
        <v>100</v>
      </c>
      <c r="Z21" s="921"/>
      <c r="AA21" s="922"/>
      <c r="AB21" s="915">
        <f>H51</f>
        <v>115</v>
      </c>
      <c r="AC21" s="921"/>
      <c r="AD21" s="922"/>
      <c r="AE21" s="915">
        <f>H52</f>
        <v>0</v>
      </c>
      <c r="AF21" s="921"/>
      <c r="AG21" s="922"/>
      <c r="AH21" s="915">
        <f>H53</f>
        <v>0</v>
      </c>
      <c r="AI21" s="921"/>
      <c r="AJ21" s="921"/>
    </row>
    <row r="22" spans="1:40" ht="12.6" customHeight="1">
      <c r="A22" s="953" t="str">
        <f>'1a-Performance'!A9</f>
        <v>친환경성</v>
      </c>
      <c r="B22" s="952">
        <f>'3a-Attribute Rating(A)'!P10*100</f>
        <v>9.8000000000000007</v>
      </c>
      <c r="C22" s="658" t="s">
        <v>69</v>
      </c>
      <c r="D22" s="659" t="str">
        <f>IF(AND((D$5&gt;=1),(D$5&lt;'6a-Hierarchy'!$D$24))," ",IF(D$5='6a-Hierarchy'!$D$24,D$5,""))</f>
        <v xml:space="preserve"> </v>
      </c>
      <c r="E22" s="660" t="str">
        <f>IF(AND((E$5&gt;=1),(E$5&lt;'6a-Hierarchy'!$D$24))," ",IF(E$5='6a-Hierarchy'!$D$24,E$5,""))</f>
        <v xml:space="preserve"> </v>
      </c>
      <c r="F22" s="660" t="str">
        <f>IF(AND((F$5&gt;=1),(F$5&lt;'6a-Hierarchy'!$D$24))," ",IF(F$5='6a-Hierarchy'!$D$24,F$5,""))</f>
        <v xml:space="preserve"> </v>
      </c>
      <c r="G22" s="660" t="str">
        <f>IF(AND((G$5&gt;=1),(G$5&lt;'6a-Hierarchy'!$D$24))," ",IF(G$5='6a-Hierarchy'!$D$24,G$5,""))</f>
        <v xml:space="preserve"> </v>
      </c>
      <c r="H22" s="660">
        <f>IF(AND((H$5&gt;=1),(H$5&lt;'6a-Hierarchy'!$D$24))," ",IF(H$5='6a-Hierarchy'!$D$24,H$5,""))</f>
        <v>5</v>
      </c>
      <c r="I22" s="661" t="str">
        <f>IF(AND((I$5&gt;=1),(I$5&lt;'6a-Hierarchy'!$D$24))," ",IF(I$5='6a-Hierarchy'!$D$24,I$5,""))</f>
        <v/>
      </c>
      <c r="J22" s="661" t="str">
        <f>IF(AND((J$5&gt;=1),(J$5&lt;'6a-Hierarchy'!$D$24))," ",IF(J$5='6a-Hierarchy'!$D$24,J$5,""))</f>
        <v/>
      </c>
      <c r="K22" s="661" t="str">
        <f>IF(AND((K$5&gt;=1),(K$5&lt;'6a-Hierarchy'!$D$24))," ",IF(K$5='6a-Hierarchy'!$D$24,K$5,""))</f>
        <v/>
      </c>
      <c r="L22" s="661" t="str">
        <f>IF(AND((L$5&gt;=1),(L$5&lt;'6a-Hierarchy'!$D$24))," ",IF(L$5='6a-Hierarchy'!$D$24,L$5,""))</f>
        <v/>
      </c>
      <c r="M22" s="662" t="str">
        <f>IF(AND((M$5&gt;=1),(M$5&lt;'6a-Hierarchy'!$D$24))," ",IF(M$5='6a-Hierarchy'!$D$24,M$5,""))</f>
        <v/>
      </c>
      <c r="N22" s="663">
        <f>$B$22*SUM(D22:M22)</f>
        <v>49</v>
      </c>
      <c r="O22" s="645"/>
      <c r="P22" s="645">
        <f t="shared" si="0"/>
        <v>9.8000000000000007</v>
      </c>
      <c r="R22" s="646"/>
      <c r="S22" s="646"/>
      <c r="T22" s="606"/>
      <c r="U22" s="408" t="s">
        <v>396</v>
      </c>
      <c r="V22" s="931"/>
      <c r="W22" s="934" t="s">
        <v>385</v>
      </c>
      <c r="X22" s="935"/>
      <c r="Y22" s="918">
        <f>J50</f>
        <v>1</v>
      </c>
      <c r="Z22" s="916"/>
      <c r="AA22" s="923"/>
      <c r="AB22" s="918">
        <f>J51</f>
        <v>0.89635395240270943</v>
      </c>
      <c r="AC22" s="916"/>
      <c r="AD22" s="923"/>
      <c r="AE22" s="918">
        <f>J52</f>
        <v>0</v>
      </c>
      <c r="AF22" s="919"/>
      <c r="AG22" s="920"/>
      <c r="AH22" s="938">
        <f>J53</f>
        <v>0</v>
      </c>
      <c r="AI22" s="916"/>
      <c r="AJ22" s="916"/>
    </row>
    <row r="23" spans="1:40" ht="12.6" customHeight="1">
      <c r="A23" s="950"/>
      <c r="B23" s="952"/>
      <c r="C23" s="647" t="s">
        <v>253</v>
      </c>
      <c r="D23" s="648" t="str">
        <f>IF(AND((D$5&gt;=1),(D$5&lt;'6a-Hierarchy'!$E$24))," ",IF(D$5='6a-Hierarchy'!$E$24,D$5,""))</f>
        <v xml:space="preserve"> </v>
      </c>
      <c r="E23" s="649" t="str">
        <f>IF(AND((E$5&gt;=1),(E$5&lt;'6a-Hierarchy'!$E$24))," ",IF(E$5='6a-Hierarchy'!$E$24,E$5,""))</f>
        <v xml:space="preserve"> </v>
      </c>
      <c r="F23" s="649" t="str">
        <f>IF(AND((F$5&gt;=1),(F$5&lt;'6a-Hierarchy'!$E$24))," ",IF(F$5='6a-Hierarchy'!$E$24,F$5,""))</f>
        <v xml:space="preserve"> </v>
      </c>
      <c r="G23" s="649" t="str">
        <f>IF(AND((G$5&gt;=1),(G$5&lt;'6a-Hierarchy'!$E$24))," ",IF(G$5='6a-Hierarchy'!$E$24,G$5,""))</f>
        <v xml:space="preserve"> </v>
      </c>
      <c r="H23" s="649">
        <f>IF(AND((H$5&gt;=1),(H$5&lt;'6a-Hierarchy'!$E$24))," ",IF(H$5='6a-Hierarchy'!$E$24,H$5,""))</f>
        <v>5</v>
      </c>
      <c r="I23" s="650" t="str">
        <f>IF(AND((I$5&gt;=1),(I$5&lt;'6a-Hierarchy'!$E$24))," ",IF(I$5='6a-Hierarchy'!$E$24,I$5,""))</f>
        <v/>
      </c>
      <c r="J23" s="650" t="str">
        <f>IF(AND((J$5&gt;=1),(J$5&lt;'6a-Hierarchy'!$E$24))," ",IF(J$5='6a-Hierarchy'!$E$24,J$5,""))</f>
        <v/>
      </c>
      <c r="K23" s="650" t="str">
        <f>IF(AND((K$5&gt;=1),(K$5&lt;'6a-Hierarchy'!$E$24))," ",IF(K$5='6a-Hierarchy'!$E$24,K$5,""))</f>
        <v/>
      </c>
      <c r="L23" s="650" t="str">
        <f>IF(AND((L$5&gt;=1),(L$5&lt;'6a-Hierarchy'!$E$24))," ",IF(L$5='6a-Hierarchy'!$E$24,L$5,""))</f>
        <v/>
      </c>
      <c r="M23" s="652" t="str">
        <f>IF(AND((M$5&gt;=1),(M$5&lt;'6a-Hierarchy'!$E$24))," ",IF(M$5='6a-Hierarchy'!$E$24,M$5,""))</f>
        <v/>
      </c>
      <c r="N23" s="653">
        <f>$B$22*SUM(D23:M23)</f>
        <v>49</v>
      </c>
      <c r="O23" s="645"/>
      <c r="P23" s="645">
        <f t="shared" si="0"/>
        <v>9.8000000000000007</v>
      </c>
      <c r="R23" s="646"/>
      <c r="S23" s="646"/>
      <c r="T23" s="606"/>
      <c r="U23" s="716" t="s">
        <v>398</v>
      </c>
      <c r="V23" s="931"/>
      <c r="W23" s="934" t="s">
        <v>388</v>
      </c>
      <c r="X23" s="935"/>
      <c r="Y23" s="915">
        <f>L50</f>
        <v>100</v>
      </c>
      <c r="Z23" s="921"/>
      <c r="AA23" s="922"/>
      <c r="AB23" s="915">
        <f>L51</f>
        <v>128.30000000000001</v>
      </c>
      <c r="AC23" s="916"/>
      <c r="AD23" s="923"/>
      <c r="AE23" s="915">
        <f>L52</f>
        <v>0</v>
      </c>
      <c r="AF23" s="921"/>
      <c r="AG23" s="922"/>
      <c r="AH23" s="915">
        <f>L53</f>
        <v>0</v>
      </c>
      <c r="AI23" s="916"/>
      <c r="AJ23" s="916"/>
    </row>
    <row r="24" spans="1:40" ht="12.6" customHeight="1">
      <c r="A24" s="950"/>
      <c r="B24" s="952"/>
      <c r="C24" s="647" t="s">
        <v>118</v>
      </c>
      <c r="D24" s="665" t="str">
        <f>IF(AND((D$5&gt;=1),(D$5&lt;'6a-Hierarchy'!$F$24))," ",IF(D$5='6a-Hierarchy'!$F$24,D$5,""))</f>
        <v/>
      </c>
      <c r="E24" s="650" t="str">
        <f>IF(AND((E$5&gt;=1),(E$5&lt;'6a-Hierarchy'!$F$24))," ",IF(E$5='6a-Hierarchy'!$F$24,E$5,""))</f>
        <v/>
      </c>
      <c r="F24" s="650" t="str">
        <f>IF(AND((F$5&gt;=1),(F$5&lt;'6a-Hierarchy'!$F$24))," ",IF(F$5='6a-Hierarchy'!$F$24,F$5,""))</f>
        <v/>
      </c>
      <c r="G24" s="650" t="str">
        <f>IF(AND((G$5&gt;=1),(G$5&lt;'6a-Hierarchy'!$F$24))," ",IF(G$5='6a-Hierarchy'!$F$24,G$5,""))</f>
        <v/>
      </c>
      <c r="H24" s="650" t="str">
        <f>IF(AND((H$5&gt;=1),(H$5&lt;'6a-Hierarchy'!$F$24))," ",IF(H$5='6a-Hierarchy'!$F$24,H$5,""))</f>
        <v/>
      </c>
      <c r="I24" s="650" t="str">
        <f>IF(AND((I$5&gt;=1),(I$5&lt;'6a-Hierarchy'!$F$24))," ",IF(I$5='6a-Hierarchy'!$F$24,I$5,""))</f>
        <v/>
      </c>
      <c r="J24" s="650" t="str">
        <f>IF(AND((J$5&gt;=1),(J$5&lt;'6a-Hierarchy'!$F$24))," ",IF(J$5='6a-Hierarchy'!$F$24,J$5,""))</f>
        <v/>
      </c>
      <c r="K24" s="650" t="str">
        <f>IF(AND((K$5&gt;=1),(K$5&lt;'6a-Hierarchy'!$F$24))," ",IF(K$5='6a-Hierarchy'!$F$24,K$5,""))</f>
        <v/>
      </c>
      <c r="L24" s="650" t="str">
        <f>IF(AND((L$5&gt;=1),(L$5&lt;'6a-Hierarchy'!$F$24))," ",IF(L$5='6a-Hierarchy'!$F$24,L$5,""))</f>
        <v/>
      </c>
      <c r="M24" s="652" t="str">
        <f>IF(AND((M$5&gt;=1),(M$5&lt;'6a-Hierarchy'!$F$24))," ",IF(M$5='6a-Hierarchy'!$F$24,M$5,""))</f>
        <v/>
      </c>
      <c r="N24" s="653">
        <f>$B$22*SUM(D24:M24)</f>
        <v>0</v>
      </c>
      <c r="O24" s="645"/>
      <c r="P24" s="645">
        <f t="shared" si="0"/>
        <v>0</v>
      </c>
      <c r="R24" s="646"/>
      <c r="S24" s="646"/>
      <c r="T24" s="606"/>
      <c r="V24" s="931"/>
      <c r="W24" s="934" t="s">
        <v>389</v>
      </c>
      <c r="X24" s="935"/>
      <c r="Y24" s="917">
        <f>N50</f>
        <v>0</v>
      </c>
      <c r="Z24" s="916"/>
      <c r="AA24" s="923"/>
      <c r="AB24" s="930" t="str">
        <f>N51</f>
        <v>가치혁신형</v>
      </c>
      <c r="AC24" s="916"/>
      <c r="AD24" s="923"/>
      <c r="AE24" s="917">
        <f>N52</f>
        <v>0</v>
      </c>
      <c r="AF24" s="916"/>
      <c r="AG24" s="923"/>
      <c r="AH24" s="917">
        <f>N53</f>
        <v>0</v>
      </c>
      <c r="AI24" s="916"/>
      <c r="AJ24" s="916"/>
    </row>
    <row r="25" spans="1:40" ht="12.6" customHeight="1">
      <c r="A25" s="950"/>
      <c r="B25" s="952"/>
      <c r="C25" s="647" t="s">
        <v>117</v>
      </c>
      <c r="D25" s="655" t="str">
        <f>IF(AND((D$5&gt;=1),(D$5&lt;'6a-Hierarchy'!$G$24))," ",IF(D$5='6a-Hierarchy'!$G$24,D$5,""))</f>
        <v/>
      </c>
      <c r="E25" s="650" t="str">
        <f>IF(AND((E$5&gt;=1),(E$5&lt;'6a-Hierarchy'!$G$24))," ",IF(E$5='6a-Hierarchy'!$G$24,E$5,""))</f>
        <v/>
      </c>
      <c r="F25" s="656" t="str">
        <f>IF(AND((F$5&gt;=1),(F$5&lt;'6a-Hierarchy'!$G$24))," ",IF(F$5='6a-Hierarchy'!$G$24,F$5,""))</f>
        <v/>
      </c>
      <c r="G25" s="656" t="str">
        <f>IF(AND((G$5&gt;=1),(G$5&lt;'6a-Hierarchy'!$G$24))," ",IF(G$5='6a-Hierarchy'!$G$24,G$5,""))</f>
        <v/>
      </c>
      <c r="H25" s="656" t="str">
        <f>IF(AND((H$5&gt;=1),(H$5&lt;'6a-Hierarchy'!$G$24))," ",IF(H$5='6a-Hierarchy'!$G$24,H$5,""))</f>
        <v/>
      </c>
      <c r="I25" s="642" t="str">
        <f>IF(AND((I$5&gt;=1),(I$5&lt;'6a-Hierarchy'!$G$24))," ",IF(I$5='6a-Hierarchy'!$G$24,I$5,""))</f>
        <v/>
      </c>
      <c r="J25" s="642" t="str">
        <f>IF(AND((J$5&gt;=1),(J$5&lt;'6a-Hierarchy'!$G$24))," ",IF(J$5='6a-Hierarchy'!$G$24,J$5,""))</f>
        <v/>
      </c>
      <c r="K25" s="642" t="str">
        <f>IF(AND((K$5&gt;=1),(K$5&lt;'6a-Hierarchy'!$G$24))," ",IF(K$5='6a-Hierarchy'!$G$24,K$5,""))</f>
        <v/>
      </c>
      <c r="L25" s="642" t="str">
        <f>IF(AND((L$5&gt;=1),(L$5&lt;'6a-Hierarchy'!$G$24))," ",IF(L$5='6a-Hierarchy'!$G$24,L$5,""))</f>
        <v/>
      </c>
      <c r="M25" s="657" t="str">
        <f>IF(AND((M$5&gt;=1),(M$5&lt;'6a-Hierarchy'!$G$24))," ",IF(M$5='6a-Hierarchy'!$G$24,M$5,""))</f>
        <v/>
      </c>
      <c r="N25" s="653">
        <f>$B$22*SUM(D25:M25)</f>
        <v>0</v>
      </c>
      <c r="O25" s="645"/>
      <c r="P25" s="645">
        <f t="shared" si="0"/>
        <v>0</v>
      </c>
      <c r="R25" s="646"/>
      <c r="S25" s="646"/>
    </row>
    <row r="26" spans="1:40" ht="12.6" customHeight="1">
      <c r="A26" s="953" t="str">
        <f>'1a-Performance'!A10</f>
        <v>배수성</v>
      </c>
      <c r="B26" s="952">
        <f>'3a-Attribute Rating(A)'!P11*100</f>
        <v>10.9</v>
      </c>
      <c r="C26" s="658" t="s">
        <v>69</v>
      </c>
      <c r="D26" s="666" t="str">
        <f>IF(AND((D$5&gt;=1),(D$5&lt;'6a-Hierarchy'!$D$28))," ",IF(D$5='6a-Hierarchy'!$D$28,D$5,""))</f>
        <v xml:space="preserve"> </v>
      </c>
      <c r="E26" s="661" t="str">
        <f>IF(AND((E$5&gt;=1),(E$5&lt;'6a-Hierarchy'!$D$28))," ",IF(E$5='6a-Hierarchy'!$D$28,E$5,""))</f>
        <v xml:space="preserve"> </v>
      </c>
      <c r="F26" s="661" t="str">
        <f>IF(AND((F$5&gt;=1),(F$5&lt;'6a-Hierarchy'!$D$28))," ",IF(F$5='6a-Hierarchy'!$D$28,F$5,""))</f>
        <v xml:space="preserve"> </v>
      </c>
      <c r="G26" s="661" t="str">
        <f>IF(AND((G$5&gt;=1),(G$5&lt;'6a-Hierarchy'!$D$28))," ",IF(G$5='6a-Hierarchy'!$D$28,G$5,""))</f>
        <v xml:space="preserve"> </v>
      </c>
      <c r="H26" s="661">
        <f>IF(AND((H$5&gt;=1),(H$5&lt;'6a-Hierarchy'!$D$28))," ",IF(H$5='6a-Hierarchy'!$D$28,H$5,""))</f>
        <v>5</v>
      </c>
      <c r="I26" s="661" t="str">
        <f>IF(AND((I$5&gt;=1),(I$5&lt;'6a-Hierarchy'!$D$28))," ",IF(I$5='6a-Hierarchy'!$D$28,I$5,""))</f>
        <v/>
      </c>
      <c r="J26" s="661" t="str">
        <f>IF(AND((J$5&gt;=1),(J$5&lt;'6a-Hierarchy'!$D$28))," ",IF(J$5='6a-Hierarchy'!$D$28,J$5,""))</f>
        <v/>
      </c>
      <c r="K26" s="661" t="str">
        <f>IF(AND((K$5&gt;=1),(K$5&lt;'6a-Hierarchy'!$D$28))," ",IF(K$5='6a-Hierarchy'!$D$28,K$5,""))</f>
        <v/>
      </c>
      <c r="L26" s="661" t="str">
        <f>IF(AND((L$5&gt;=1),(L$5&lt;'6a-Hierarchy'!$D$28))," ",IF(L$5='6a-Hierarchy'!$D$28,L$5,""))</f>
        <v/>
      </c>
      <c r="M26" s="662" t="str">
        <f>IF(AND((M$5&gt;=1),(M$5&lt;'6a-Hierarchy'!$D$28))," ",IF(M$5='6a-Hierarchy'!$D$28,M$5,""))</f>
        <v/>
      </c>
      <c r="N26" s="663">
        <f>$B$26*SUM(D26:M26)</f>
        <v>54.5</v>
      </c>
      <c r="O26" s="645"/>
      <c r="P26" s="664">
        <f t="shared" si="0"/>
        <v>10.9</v>
      </c>
      <c r="R26" s="646"/>
      <c r="S26" s="646"/>
      <c r="T26" s="606"/>
    </row>
    <row r="27" spans="1:40" ht="12.6" customHeight="1">
      <c r="A27" s="950"/>
      <c r="B27" s="952"/>
      <c r="C27" s="647" t="s">
        <v>253</v>
      </c>
      <c r="D27" s="665" t="str">
        <f>IF(AND((D$5&gt;=1),(D$5&lt;'6a-Hierarchy'!$E$28))," ",IF(D$5='6a-Hierarchy'!$E$28,D$5,""))</f>
        <v xml:space="preserve"> </v>
      </c>
      <c r="E27" s="650" t="str">
        <f>IF(AND((E$5&gt;=1),(E$5&lt;'6a-Hierarchy'!$E$28))," ",IF(E$5='6a-Hierarchy'!$E$28,E$5,""))</f>
        <v xml:space="preserve"> </v>
      </c>
      <c r="F27" s="650" t="str">
        <f>IF(AND((F$5&gt;=1),(F$5&lt;'6a-Hierarchy'!$E$28))," ",IF(F$5='6a-Hierarchy'!$E$28,F$5,""))</f>
        <v xml:space="preserve"> </v>
      </c>
      <c r="G27" s="650" t="str">
        <f>IF(AND((G$5&gt;=1),(G$5&lt;'6a-Hierarchy'!$E$28))," ",IF(G$5='6a-Hierarchy'!$E$28,G$5,""))</f>
        <v xml:space="preserve"> </v>
      </c>
      <c r="H27" s="650">
        <f>IF(AND((H$5&gt;=1),(H$5&lt;'6a-Hierarchy'!$E$28))," ",IF(H$5='6a-Hierarchy'!$E$28,H$5,""))</f>
        <v>5</v>
      </c>
      <c r="I27" s="650" t="str">
        <f>IF(AND((I$5&gt;=1),(I$5&lt;'6a-Hierarchy'!$E$28))," ",IF(I$5='6a-Hierarchy'!$E$28,I$5,""))</f>
        <v/>
      </c>
      <c r="J27" s="650" t="str">
        <f>IF(AND((J$5&gt;=1),(J$5&lt;'6a-Hierarchy'!$E$28))," ",IF(J$5='6a-Hierarchy'!$E$28,J$5,""))</f>
        <v/>
      </c>
      <c r="K27" s="650" t="str">
        <f>IF(AND((K$5&gt;=1),(K$5&lt;'6a-Hierarchy'!$E$28))," ",IF(K$5='6a-Hierarchy'!$E$28,K$5,""))</f>
        <v/>
      </c>
      <c r="L27" s="650" t="str">
        <f>IF(AND((L$5&gt;=1),(L$5&lt;'6a-Hierarchy'!$E$28))," ",IF(L$5='6a-Hierarchy'!$E$28,L$5,""))</f>
        <v/>
      </c>
      <c r="M27" s="652" t="str">
        <f>IF(AND((M$5&gt;=1),(M$5&lt;'6a-Hierarchy'!$E$28))," ",IF(M$5='6a-Hierarchy'!$E$28,M$5,""))</f>
        <v/>
      </c>
      <c r="N27" s="653">
        <f>$B$26*SUM(D27:M27)</f>
        <v>54.5</v>
      </c>
      <c r="O27" s="645"/>
      <c r="P27" s="664">
        <f t="shared" si="0"/>
        <v>10.9</v>
      </c>
      <c r="R27" s="646"/>
      <c r="S27" s="646"/>
    </row>
    <row r="28" spans="1:40" ht="12.6" customHeight="1">
      <c r="A28" s="950"/>
      <c r="B28" s="952"/>
      <c r="C28" s="647" t="s">
        <v>118</v>
      </c>
      <c r="D28" s="665" t="str">
        <f>IF(AND((D$5&gt;=1),(D$5&lt;'6a-Hierarchy'!$F$28))," ",IF(D$5='6a-Hierarchy'!$F$28,D$5,""))</f>
        <v/>
      </c>
      <c r="E28" s="650" t="str">
        <f>IF(AND((E$5&gt;=1),(E$5&lt;'6a-Hierarchy'!$F$28))," ",IF(E$5='6a-Hierarchy'!$F$28,E$5,""))</f>
        <v/>
      </c>
      <c r="F28" s="650" t="str">
        <f>IF(AND((F$5&gt;=1),(F$5&lt;'6a-Hierarchy'!$F$28))," ",IF(F$5='6a-Hierarchy'!$F$28,F$5,""))</f>
        <v/>
      </c>
      <c r="G28" s="650" t="str">
        <f>IF(AND((G$5&gt;=1),(G$5&lt;'6a-Hierarchy'!$F$28))," ",IF(G$5='6a-Hierarchy'!$F$28,G$5,""))</f>
        <v/>
      </c>
      <c r="H28" s="650" t="str">
        <f>IF(AND((H$5&gt;=1),(H$5&lt;'6a-Hierarchy'!$F$28))," ",IF(H$5='6a-Hierarchy'!$F$28,H$5,""))</f>
        <v/>
      </c>
      <c r="I28" s="650" t="str">
        <f>IF(AND((I$5&gt;=1),(I$5&lt;'6a-Hierarchy'!$F$28))," ",IF(I$5='6a-Hierarchy'!$F$28,I$5,""))</f>
        <v/>
      </c>
      <c r="J28" s="650" t="str">
        <f>IF(AND((J$5&gt;=1),(J$5&lt;'6a-Hierarchy'!$F$28))," ",IF(J$5='6a-Hierarchy'!$F$28,J$5,""))</f>
        <v/>
      </c>
      <c r="K28" s="650" t="str">
        <f>IF(AND((K$5&gt;=1),(K$5&lt;'6a-Hierarchy'!$F$28))," ",IF(K$5='6a-Hierarchy'!$F$28,K$5,""))</f>
        <v/>
      </c>
      <c r="L28" s="650" t="str">
        <f>IF(AND((L$5&gt;=1),(L$5&lt;'6a-Hierarchy'!$F$28))," ",IF(L$5='6a-Hierarchy'!$F$28,L$5,""))</f>
        <v/>
      </c>
      <c r="M28" s="652" t="str">
        <f>IF(AND((M$5&gt;=1),(M$5&lt;'6a-Hierarchy'!$F$28))," ",IF(M$5='6a-Hierarchy'!$F$28,M$5,""))</f>
        <v/>
      </c>
      <c r="N28" s="653">
        <f>$B$26*SUM(D28:M28)</f>
        <v>0</v>
      </c>
      <c r="O28" s="645"/>
      <c r="P28" s="664">
        <f t="shared" si="0"/>
        <v>0</v>
      </c>
      <c r="R28" s="646"/>
      <c r="S28" s="646"/>
    </row>
    <row r="29" spans="1:40" ht="12.6" customHeight="1">
      <c r="A29" s="950"/>
      <c r="B29" s="952"/>
      <c r="C29" s="647" t="s">
        <v>117</v>
      </c>
      <c r="D29" s="655" t="str">
        <f>IF(AND((D$5&gt;=1),(D$5&lt;'6a-Hierarchy'!$G$28))," ",IF(D$5='6a-Hierarchy'!$G$28,D$5,""))</f>
        <v/>
      </c>
      <c r="E29" s="656" t="str">
        <f>IF(AND((E$5&gt;=1),(E$5&lt;'6a-Hierarchy'!$G$28))," ",IF(E$5='6a-Hierarchy'!$G$28,E$5,""))</f>
        <v/>
      </c>
      <c r="F29" s="656" t="str">
        <f>IF(AND((F$5&gt;=1),(F$5&lt;'6a-Hierarchy'!$G$28))," ",IF(F$5='6a-Hierarchy'!$G$28,F$5,""))</f>
        <v/>
      </c>
      <c r="G29" s="650" t="str">
        <f>IF(AND((G$5&gt;=1),(G$5&lt;'6a-Hierarchy'!$G$28))," ",IF(G$5='6a-Hierarchy'!$G$28,G$5,""))</f>
        <v/>
      </c>
      <c r="H29" s="656" t="str">
        <f>IF(AND((H$5&gt;=1),(H$5&lt;'6a-Hierarchy'!$G$28))," ",IF(H$5='6a-Hierarchy'!$G$28,H$5,""))</f>
        <v/>
      </c>
      <c r="I29" s="642" t="str">
        <f>IF(AND((I$5&gt;=1),(I$5&lt;'6a-Hierarchy'!$G$28))," ",IF(I$5='6a-Hierarchy'!$G$28,I$5,""))</f>
        <v/>
      </c>
      <c r="J29" s="642" t="str">
        <f>IF(AND((J$5&gt;=1),(J$5&lt;'6a-Hierarchy'!$G$28))," ",IF(J$5='6a-Hierarchy'!$G$28,J$5,""))</f>
        <v/>
      </c>
      <c r="K29" s="642" t="str">
        <f>IF(AND((K$5&gt;=1),(K$5&lt;'6a-Hierarchy'!$G$28))," ",IF(K$5='6a-Hierarchy'!$G$28,K$5,""))</f>
        <v/>
      </c>
      <c r="L29" s="642" t="str">
        <f>IF(AND((L$5&gt;=1),(L$5&lt;'6a-Hierarchy'!$G$28))," ",IF(L$5='6a-Hierarchy'!$G$28,L$5,""))</f>
        <v/>
      </c>
      <c r="M29" s="657" t="str">
        <f>IF(AND((M$5&gt;=1),(M$5&lt;'6a-Hierarchy'!$G$28))," ",IF(M$5='6a-Hierarchy'!$G$28,M$5,""))</f>
        <v/>
      </c>
      <c r="N29" s="653">
        <f>$B$26*SUM(D29:M29)</f>
        <v>0</v>
      </c>
      <c r="O29" s="645"/>
      <c r="P29" s="664">
        <f t="shared" si="0"/>
        <v>0</v>
      </c>
      <c r="R29" s="646"/>
      <c r="S29" s="646"/>
    </row>
    <row r="30" spans="1:40" ht="12.6" customHeight="1">
      <c r="A30" s="953" t="str">
        <f>'1a-Performance'!A11</f>
        <v>교통안전성</v>
      </c>
      <c r="B30" s="952">
        <f>'3a-Attribute Rating(A)'!P12*100</f>
        <v>11.799999999999999</v>
      </c>
      <c r="C30" s="658" t="s">
        <v>69</v>
      </c>
      <c r="D30" s="666" t="str">
        <f>IF(AND((D$5&gt;=1),(D$5&lt;'6a-Hierarchy'!$D$32))," ",IF(D$5='6a-Hierarchy'!$D$32,D$5,""))</f>
        <v xml:space="preserve"> </v>
      </c>
      <c r="E30" s="661" t="str">
        <f>IF(AND((E$5&gt;=1),(E$5&lt;'6a-Hierarchy'!$D$32))," ",IF(E$5='6a-Hierarchy'!$D$32,E$5,""))</f>
        <v xml:space="preserve"> </v>
      </c>
      <c r="F30" s="661" t="str">
        <f>IF(AND((F$5&gt;=1),(F$5&lt;'6a-Hierarchy'!$D$32))," ",IF(F$5='6a-Hierarchy'!$D$32,F$5,""))</f>
        <v xml:space="preserve"> </v>
      </c>
      <c r="G30" s="661" t="str">
        <f>IF(AND((G$5&gt;=1),(G$5&lt;'6a-Hierarchy'!$D$32))," ",IF(G$5='6a-Hierarchy'!$D$32,G$5,""))</f>
        <v xml:space="preserve"> </v>
      </c>
      <c r="H30" s="661">
        <f>IF(AND((H$5&gt;=1),(H$5&lt;'6a-Hierarchy'!$D$32))," ",IF(H$5='6a-Hierarchy'!$D$32,H$5,""))</f>
        <v>5</v>
      </c>
      <c r="I30" s="661" t="str">
        <f>IF(AND((I$5&gt;=1),(I$5&lt;'6a-Hierarchy'!$D$32))," ",IF(I$5='6a-Hierarchy'!$D$32,I$5,""))</f>
        <v/>
      </c>
      <c r="J30" s="661" t="str">
        <f>IF(AND((J$5&gt;=1),(J$5&lt;'6a-Hierarchy'!$D$32))," ",IF(J$5='6a-Hierarchy'!$D$32,J$5,""))</f>
        <v/>
      </c>
      <c r="K30" s="661" t="str">
        <f>IF(AND((K$5&gt;=1),(K$5&lt;'6a-Hierarchy'!$D$32))," ",IF(K$5='6a-Hierarchy'!$D$32,K$5,""))</f>
        <v/>
      </c>
      <c r="L30" s="661" t="str">
        <f>IF(AND((L$5&gt;=1),(L$5&lt;'6a-Hierarchy'!$D$32))," ",IF(L$5='6a-Hierarchy'!$D$32,L$5,""))</f>
        <v/>
      </c>
      <c r="M30" s="662" t="str">
        <f>IF(AND((M$5&gt;=1),(M$5&lt;'6a-Hierarchy'!$D$32))," ",IF(M$5='6a-Hierarchy'!$D$32,M$5,""))</f>
        <v/>
      </c>
      <c r="N30" s="663">
        <f>$B$30*SUM(D30:M30)</f>
        <v>58.999999999999993</v>
      </c>
      <c r="O30" s="645"/>
      <c r="P30" s="645">
        <f>N30*$F$50</f>
        <v>11.799999999999999</v>
      </c>
      <c r="R30" s="667"/>
      <c r="S30" s="668"/>
    </row>
    <row r="31" spans="1:40" ht="12.6" customHeight="1">
      <c r="A31" s="950"/>
      <c r="B31" s="952"/>
      <c r="C31" s="647" t="s">
        <v>253</v>
      </c>
      <c r="D31" s="665" t="str">
        <f>IF(AND((D$5&gt;=1),(D$5&lt;'6a-Hierarchy'!$E$32))," ",IF(D$5='6a-Hierarchy'!$E$32,D$5,""))</f>
        <v xml:space="preserve"> </v>
      </c>
      <c r="E31" s="650" t="str">
        <f>IF(AND((E$5&gt;=1),(E$5&lt;'6a-Hierarchy'!$E$32))," ",IF(E$5='6a-Hierarchy'!$E$32,E$5,""))</f>
        <v xml:space="preserve"> </v>
      </c>
      <c r="F31" s="650" t="str">
        <f>IF(AND((F$5&gt;=1),(F$5&lt;'6a-Hierarchy'!$E$32))," ",IF(F$5='6a-Hierarchy'!$E$32,F$5,""))</f>
        <v xml:space="preserve"> </v>
      </c>
      <c r="G31" s="650" t="str">
        <f>IF(AND((G$5&gt;=1),(G$5&lt;'6a-Hierarchy'!$E$32))," ",IF(G$5='6a-Hierarchy'!$E$32,G$5,""))</f>
        <v xml:space="preserve"> </v>
      </c>
      <c r="H31" s="650">
        <f>IF(AND((H$5&gt;=1),(H$5&lt;'6a-Hierarchy'!$E$32))," ",IF(H$5='6a-Hierarchy'!$E$32,H$5,""))</f>
        <v>5</v>
      </c>
      <c r="I31" s="650" t="str">
        <f>IF(AND((I$5&gt;=1),(I$5&lt;'6a-Hierarchy'!$E$32))," ",IF(I$5='6a-Hierarchy'!$E$32,I$5,""))</f>
        <v/>
      </c>
      <c r="J31" s="650" t="str">
        <f>IF(AND((J$5&gt;=1),(J$5&lt;'6a-Hierarchy'!$E$32))," ",IF(J$5='6a-Hierarchy'!$E$32,J$5,""))</f>
        <v/>
      </c>
      <c r="K31" s="650" t="str">
        <f>IF(AND((K$5&gt;=1),(K$5&lt;'6a-Hierarchy'!$E$32))," ",IF(K$5='6a-Hierarchy'!$E$32,K$5,""))</f>
        <v/>
      </c>
      <c r="L31" s="650" t="str">
        <f>IF(AND((L$5&gt;=1),(L$5&lt;'6a-Hierarchy'!$E$32))," ",IF(L$5='6a-Hierarchy'!$E$32,L$5,""))</f>
        <v/>
      </c>
      <c r="M31" s="652" t="str">
        <f>IF(AND((M$5&gt;=1),(M$5&lt;'6a-Hierarchy'!$E$32))," ",IF(M$5='6a-Hierarchy'!$E$32,M$5,""))</f>
        <v/>
      </c>
      <c r="N31" s="653">
        <f>$B$30*SUM(D31:M31)</f>
        <v>58.999999999999993</v>
      </c>
      <c r="O31" s="645"/>
      <c r="P31" s="645">
        <f t="shared" si="0"/>
        <v>11.799999999999999</v>
      </c>
      <c r="R31" s="667"/>
      <c r="S31" s="668"/>
    </row>
    <row r="32" spans="1:40" ht="12.6" customHeight="1">
      <c r="A32" s="950"/>
      <c r="B32" s="952"/>
      <c r="C32" s="647" t="s">
        <v>118</v>
      </c>
      <c r="D32" s="665" t="str">
        <f>IF(AND((D$5&gt;=1),(D$5&lt;'6a-Hierarchy'!$F$32))," ",IF(D$5='6a-Hierarchy'!$F$32,D$5,""))</f>
        <v/>
      </c>
      <c r="E32" s="650" t="str">
        <f>IF(AND((E$5&gt;=1),(E$5&lt;'6a-Hierarchy'!$F$32))," ",IF(E$5='6a-Hierarchy'!$F$32,E$5,""))</f>
        <v/>
      </c>
      <c r="F32" s="650" t="str">
        <f>IF(AND((F$5&gt;=1),(F$5&lt;'6a-Hierarchy'!$F$32))," ",IF(F$5='6a-Hierarchy'!$F$32,F$5,""))</f>
        <v/>
      </c>
      <c r="G32" s="650" t="str">
        <f>IF(AND((G$5&gt;=1),(G$5&lt;'6a-Hierarchy'!$F$32))," ",IF(G$5='6a-Hierarchy'!$F$32,G$5,""))</f>
        <v/>
      </c>
      <c r="H32" s="650" t="str">
        <f>IF(AND((H$5&gt;=1),(H$5&lt;'6a-Hierarchy'!$F$32))," ",IF(H$5='6a-Hierarchy'!$F$32,H$5,""))</f>
        <v/>
      </c>
      <c r="I32" s="650" t="str">
        <f>IF(AND((I$5&gt;=1),(I$5&lt;'6a-Hierarchy'!$F$32))," ",IF(I$5='6a-Hierarchy'!$F$32,I$5,""))</f>
        <v/>
      </c>
      <c r="J32" s="650" t="str">
        <f>IF(AND((J$5&gt;=1),(J$5&lt;'6a-Hierarchy'!$F$32))," ",IF(J$5='6a-Hierarchy'!$F$32,J$5,""))</f>
        <v/>
      </c>
      <c r="K32" s="650" t="str">
        <f>IF(AND((K$5&gt;=1),(K$5&lt;'6a-Hierarchy'!$F$32))," ",IF(K$5='6a-Hierarchy'!$F$32,K$5,""))</f>
        <v/>
      </c>
      <c r="L32" s="650" t="str">
        <f>IF(AND((L$5&gt;=1),(L$5&lt;'6a-Hierarchy'!$F$32))," ",IF(L$5='6a-Hierarchy'!$F$32,L$5,""))</f>
        <v/>
      </c>
      <c r="M32" s="652" t="str">
        <f>IF(AND((M$5&gt;=1),(M$5&lt;'6a-Hierarchy'!$F$32))," ",IF(M$5='6a-Hierarchy'!$F$32,M$5,""))</f>
        <v/>
      </c>
      <c r="N32" s="653">
        <f>$B$30*SUM(D32:M32)</f>
        <v>0</v>
      </c>
      <c r="O32" s="645"/>
      <c r="P32" s="645">
        <f t="shared" si="0"/>
        <v>0</v>
      </c>
      <c r="R32" s="667"/>
      <c r="S32" s="668"/>
    </row>
    <row r="33" spans="1:29" ht="12.6" customHeight="1">
      <c r="A33" s="950"/>
      <c r="B33" s="952"/>
      <c r="C33" s="647" t="s">
        <v>117</v>
      </c>
      <c r="D33" s="669" t="str">
        <f>IF(AND((D$5&gt;=1),(D$5&lt;'6a-Hierarchy'!$G$32))," ",IF(D$5='6a-Hierarchy'!$G$32,D$5,""))</f>
        <v/>
      </c>
      <c r="E33" s="642" t="str">
        <f>IF(AND((E$5&gt;=1),(E$5&lt;'6a-Hierarchy'!$G$32))," ",IF(E$5='6a-Hierarchy'!$G$32,E$5,""))</f>
        <v/>
      </c>
      <c r="F33" s="642" t="str">
        <f>IF(AND((F$5&gt;=1),(F$5&lt;'6a-Hierarchy'!$G$32))," ",IF(F$5='6a-Hierarchy'!$G$32,F$5,""))</f>
        <v/>
      </c>
      <c r="G33" s="642" t="str">
        <f>IF(AND((G$5&gt;=1),(G$5&lt;'6a-Hierarchy'!$G$32))," ",IF(G$5='6a-Hierarchy'!$G$32,G$5,""))</f>
        <v/>
      </c>
      <c r="H33" s="642" t="str">
        <f>IF(AND((H$5&gt;=1),(H$5&lt;'6a-Hierarchy'!$G$32))," ",IF(H$5='6a-Hierarchy'!$G$32,H$5,""))</f>
        <v/>
      </c>
      <c r="I33" s="642" t="str">
        <f>IF(AND((I$5&gt;=1),(I$5&lt;'6a-Hierarchy'!$G$32))," ",IF(I$5='6a-Hierarchy'!$G$32,I$5,""))</f>
        <v/>
      </c>
      <c r="J33" s="642" t="str">
        <f>IF(AND((J$5&gt;=1),(J$5&lt;'6a-Hierarchy'!$G$32))," ",IF(J$5='6a-Hierarchy'!$G$32,J$5,""))</f>
        <v/>
      </c>
      <c r="K33" s="642" t="str">
        <f>IF(AND((K$5&gt;=1),(K$5&lt;'6a-Hierarchy'!$G$32))," ",IF(K$5='6a-Hierarchy'!$G$32,K$5,""))</f>
        <v/>
      </c>
      <c r="L33" s="642" t="str">
        <f>IF(AND((L$5&gt;=1),(L$5&lt;'6a-Hierarchy'!$G$32))," ",IF(L$5='6a-Hierarchy'!$G$32,L$5,""))</f>
        <v/>
      </c>
      <c r="M33" s="657" t="str">
        <f>IF(AND((M$5&gt;=1),(M$5&lt;'6a-Hierarchy'!$G$32))," ",IF(M$5='6a-Hierarchy'!$G$32,M$5,""))</f>
        <v/>
      </c>
      <c r="N33" s="653">
        <f>$B$30*SUM(D33:M33)</f>
        <v>0</v>
      </c>
      <c r="O33" s="645"/>
      <c r="P33" s="645">
        <f t="shared" si="0"/>
        <v>0</v>
      </c>
      <c r="R33" s="667"/>
    </row>
    <row r="34" spans="1:29" ht="12.6" customHeight="1">
      <c r="A34" s="814" t="str">
        <f>'1a-Performance'!A12</f>
        <v>민원성</v>
      </c>
      <c r="B34" s="952">
        <f>'3a-Attribute Rating(A)'!P13*100</f>
        <v>12.4</v>
      </c>
      <c r="C34" s="658" t="s">
        <v>69</v>
      </c>
      <c r="D34" s="666" t="str">
        <f>IF(AND((D$5&gt;=1),(D$5&lt;'6a-Hierarchy'!$D$36))," ",IF(D$5='6a-Hierarchy'!$D$36,D$5,""))</f>
        <v xml:space="preserve"> </v>
      </c>
      <c r="E34" s="661" t="str">
        <f>IF(AND((E$5&gt;=1),(E$5&lt;'6a-Hierarchy'!$D$36))," ",IF(E$5='6a-Hierarchy'!$D$36,E$5,""))</f>
        <v xml:space="preserve"> </v>
      </c>
      <c r="F34" s="661" t="str">
        <f>IF(AND((F$5&gt;=1),(F$5&lt;'6a-Hierarchy'!$D$36))," ",IF(F$5='6a-Hierarchy'!$D$36,F$5,""))</f>
        <v xml:space="preserve"> </v>
      </c>
      <c r="G34" s="661" t="str">
        <f>IF(AND((G$5&gt;=1),(G$5&lt;'6a-Hierarchy'!$D$36))," ",IF(G$5='6a-Hierarchy'!$D$36,G$5,""))</f>
        <v xml:space="preserve"> </v>
      </c>
      <c r="H34" s="661">
        <f>IF(AND((H$5&gt;=1),(H$5&lt;'6a-Hierarchy'!$D$36))," ",IF(H$5='6a-Hierarchy'!$D$36,H$5,""))</f>
        <v>5</v>
      </c>
      <c r="I34" s="661" t="str">
        <f>IF(AND((I$5&gt;=1),(I$5&lt;'6a-Hierarchy'!$D$36))," ",IF(I$5='6a-Hierarchy'!$D$36,I$5,""))</f>
        <v/>
      </c>
      <c r="J34" s="661" t="str">
        <f>IF(AND((J$5&gt;=1),(J$5&lt;'6a-Hierarchy'!$D$36))," ",IF(J$5='6a-Hierarchy'!$D$36,J$5,""))</f>
        <v/>
      </c>
      <c r="K34" s="661" t="str">
        <f>IF(AND((K$5&gt;=1),(K$5&lt;'6a-Hierarchy'!$D$36))," ",IF(K$5='6a-Hierarchy'!$D$36,K$5,""))</f>
        <v/>
      </c>
      <c r="L34" s="661" t="str">
        <f>IF(AND((L$5&gt;=1),(L$5&lt;'6a-Hierarchy'!$D$36))," ",IF(L$5='6a-Hierarchy'!$D$36,L$5,""))</f>
        <v/>
      </c>
      <c r="M34" s="662" t="str">
        <f>IF(AND((M$5&gt;=1),(M$5&lt;'6a-Hierarchy'!$D$36))," ",IF(M$5='6a-Hierarchy'!$D$36,M$5,""))</f>
        <v/>
      </c>
      <c r="N34" s="663">
        <f>$B$34*SUM(D34:M34)</f>
        <v>62</v>
      </c>
      <c r="O34" s="645"/>
      <c r="P34" s="664">
        <f t="shared" si="0"/>
        <v>12.4</v>
      </c>
    </row>
    <row r="35" spans="1:29" ht="12.6" customHeight="1">
      <c r="A35" s="954"/>
      <c r="B35" s="952"/>
      <c r="C35" s="647" t="s">
        <v>253</v>
      </c>
      <c r="D35" s="665" t="str">
        <f>IF(AND((D$5&gt;=1),(D$5&lt;'6a-Hierarchy'!$E$36))," ",IF(D$5='6a-Hierarchy'!$E$36,D$5,""))</f>
        <v xml:space="preserve"> </v>
      </c>
      <c r="E35" s="650" t="str">
        <f>IF(AND((E$5&gt;=1),(E$5&lt;'6a-Hierarchy'!$E$36))," ",IF(E$5='6a-Hierarchy'!$E$36,E$5,""))</f>
        <v xml:space="preserve"> </v>
      </c>
      <c r="F35" s="650" t="str">
        <f>IF(AND((F$5&gt;=1),(F$5&lt;'6a-Hierarchy'!$E$36))," ",IF(F$5='6a-Hierarchy'!$E$36,F$5,""))</f>
        <v xml:space="preserve"> </v>
      </c>
      <c r="G35" s="650" t="str">
        <f>IF(AND((G$5&gt;=1),(G$5&lt;'6a-Hierarchy'!$E$36))," ",IF(G$5='6a-Hierarchy'!$E$36,G$5,""))</f>
        <v xml:space="preserve"> </v>
      </c>
      <c r="H35" s="650" t="str">
        <f>IF(AND((H$5&gt;=1),(H$5&lt;'6a-Hierarchy'!$E$36))," ",IF(H$5='6a-Hierarchy'!$E$36,H$5,""))</f>
        <v xml:space="preserve"> </v>
      </c>
      <c r="I35" s="650">
        <f>IF(AND((I$5&gt;=1),(I$5&lt;'6a-Hierarchy'!$E$36))," ",IF(I$5='6a-Hierarchy'!$E$36,I$5,""))</f>
        <v>6</v>
      </c>
      <c r="J35" s="650" t="str">
        <f>IF(AND((J$5&gt;=1),(J$5&lt;'6a-Hierarchy'!$E$36))," ",IF(J$5='6a-Hierarchy'!$E$36,J$5,""))</f>
        <v/>
      </c>
      <c r="K35" s="650" t="str">
        <f>IF(AND((K$5&gt;=1),(K$5&lt;'6a-Hierarchy'!$E$36))," ",IF(K$5='6a-Hierarchy'!$E$36,K$5,""))</f>
        <v/>
      </c>
      <c r="L35" s="650" t="str">
        <f>IF(AND((L$5&gt;=1),(L$5&lt;'6a-Hierarchy'!$E$36))," ",IF(L$5='6a-Hierarchy'!$E$36,L$5,""))</f>
        <v/>
      </c>
      <c r="M35" s="652" t="str">
        <f>IF(AND((M$5&gt;=1),(M$5&lt;'6a-Hierarchy'!$E$36))," ",IF(M$5='6a-Hierarchy'!$E$36,M$5,""))</f>
        <v/>
      </c>
      <c r="N35" s="653">
        <f>$B$34*SUM(D35:M35)</f>
        <v>74.400000000000006</v>
      </c>
      <c r="O35" s="645"/>
      <c r="P35" s="664">
        <f t="shared" si="0"/>
        <v>14.880000000000003</v>
      </c>
    </row>
    <row r="36" spans="1:29" ht="12.6" customHeight="1">
      <c r="A36" s="954"/>
      <c r="B36" s="952"/>
      <c r="C36" s="647" t="s">
        <v>118</v>
      </c>
      <c r="D36" s="665" t="str">
        <f>IF(AND((D$5&gt;=1),(D$5&lt;'6a-Hierarchy'!$F$36))," ",IF(D$5='6a-Hierarchy'!$F$36,D$5,""))</f>
        <v/>
      </c>
      <c r="E36" s="650" t="str">
        <f>IF(AND((E$5&gt;=1),(E$5&lt;'6a-Hierarchy'!$F$36))," ",IF(E$5='6a-Hierarchy'!$F$36,E$5,""))</f>
        <v/>
      </c>
      <c r="F36" s="650" t="str">
        <f>IF(AND((F$5&gt;=1),(F$5&lt;'6a-Hierarchy'!$F$36))," ",IF(F$5='6a-Hierarchy'!$F$36,F$5,""))</f>
        <v/>
      </c>
      <c r="G36" s="650" t="str">
        <f>IF(AND((G$5&gt;=1),(G$5&lt;'6a-Hierarchy'!$F$36))," ",IF(G$5='6a-Hierarchy'!$F$36,G$5,""))</f>
        <v/>
      </c>
      <c r="H36" s="650" t="str">
        <f>IF(AND((H$5&gt;=1),(H$5&lt;'6a-Hierarchy'!$F$36))," ",IF(H$5='6a-Hierarchy'!$F$36,H$5,""))</f>
        <v/>
      </c>
      <c r="I36" s="650" t="str">
        <f>IF(AND((I$5&gt;=1),(I$5&lt;'6a-Hierarchy'!$F$36))," ",IF(I$5='6a-Hierarchy'!$F$36,I$5,""))</f>
        <v/>
      </c>
      <c r="J36" s="650" t="str">
        <f>IF(AND((J$5&gt;=1),(J$5&lt;'6a-Hierarchy'!$F$36))," ",IF(J$5='6a-Hierarchy'!$F$36,J$5,""))</f>
        <v/>
      </c>
      <c r="K36" s="650" t="str">
        <f>IF(AND((K$5&gt;=1),(K$5&lt;'6a-Hierarchy'!$F$36))," ",IF(K$5='6a-Hierarchy'!$F$36,K$5,""))</f>
        <v/>
      </c>
      <c r="L36" s="650" t="str">
        <f>IF(AND((L$5&gt;=1),(L$5&lt;'6a-Hierarchy'!$F$36))," ",IF(L$5='6a-Hierarchy'!$F$36,L$5,""))</f>
        <v/>
      </c>
      <c r="M36" s="652" t="str">
        <f>IF(AND((M$5&gt;=1),(M$5&lt;'6a-Hierarchy'!$F$36))," ",IF(M$5='6a-Hierarchy'!$F$36,M$5,""))</f>
        <v/>
      </c>
      <c r="N36" s="653">
        <f>$B$34*SUM(D36:M36)</f>
        <v>0</v>
      </c>
      <c r="O36" s="645"/>
      <c r="P36" s="664">
        <f t="shared" si="0"/>
        <v>0</v>
      </c>
    </row>
    <row r="37" spans="1:29" ht="12.6" customHeight="1" thickBot="1">
      <c r="A37" s="955"/>
      <c r="B37" s="956"/>
      <c r="C37" s="670" t="s">
        <v>117</v>
      </c>
      <c r="D37" s="671" t="str">
        <f>IF(AND((D$5&gt;=1),(D$5&lt;'6a-Hierarchy'!$G$36))," ",IF(D$5='6a-Hierarchy'!$G$36,D$5,""))</f>
        <v/>
      </c>
      <c r="E37" s="672" t="str">
        <f>IF(AND((E$5&gt;=1),(E$5&lt;'6a-Hierarchy'!$G$36))," ",IF(E$5='6a-Hierarchy'!$G$36,E$5,""))</f>
        <v/>
      </c>
      <c r="F37" s="672" t="str">
        <f>IF(AND((F$5&gt;=1),(F$5&lt;'6a-Hierarchy'!$G$36))," ",IF(F$5='6a-Hierarchy'!$G$36,F$5,""))</f>
        <v/>
      </c>
      <c r="G37" s="672" t="str">
        <f>IF(AND((G$5&gt;=1),(G$5&lt;'6a-Hierarchy'!$G$36))," ",IF(G$5='6a-Hierarchy'!$G$36,G$5,""))</f>
        <v/>
      </c>
      <c r="H37" s="672" t="str">
        <f>IF(AND((H$5&gt;=1),(H$5&lt;'6a-Hierarchy'!$G$36))," ",IF(H$5='6a-Hierarchy'!$G$36,H$5,""))</f>
        <v/>
      </c>
      <c r="I37" s="672" t="str">
        <f>IF(AND((I$5&gt;=1),(I$5&lt;'6a-Hierarchy'!$G$36))," ",IF(I$5='6a-Hierarchy'!$G$36,I$5,""))</f>
        <v/>
      </c>
      <c r="J37" s="672" t="str">
        <f>IF(AND((J$5&gt;=1),(J$5&lt;'6a-Hierarchy'!$G$36))," ",IF(J$5='6a-Hierarchy'!$G$36,J$5,""))</f>
        <v/>
      </c>
      <c r="K37" s="672" t="str">
        <f>IF(AND((K$5&gt;=1),(K$5&lt;'6a-Hierarchy'!$G$36))," ",IF(K$5='6a-Hierarchy'!$G$36,K$5,""))</f>
        <v/>
      </c>
      <c r="L37" s="672" t="str">
        <f>IF(AND((L$5&gt;=1),(L$5&lt;'6a-Hierarchy'!$G$36))," ",IF(L$5='6a-Hierarchy'!$G$36,L$5,""))</f>
        <v/>
      </c>
      <c r="M37" s="673" t="str">
        <f>IF(AND((M$5&gt;=1),(M$5&lt;'6a-Hierarchy'!$G$36))," ",IF(M$5='6a-Hierarchy'!$G$36,M$5,""))</f>
        <v/>
      </c>
      <c r="N37" s="674">
        <f>$B$34*SUM(D37:M37)</f>
        <v>0</v>
      </c>
      <c r="O37" s="645"/>
      <c r="P37" s="664">
        <f t="shared" si="0"/>
        <v>0</v>
      </c>
    </row>
    <row r="38" spans="1:29" ht="9.75" customHeight="1" thickBot="1">
      <c r="A38" s="377"/>
      <c r="B38" s="377"/>
      <c r="C38" s="377"/>
      <c r="D38" s="377"/>
      <c r="E38" s="377"/>
      <c r="F38" s="377"/>
      <c r="G38" s="377"/>
      <c r="H38" s="377"/>
      <c r="I38" s="377"/>
      <c r="J38" s="377"/>
      <c r="K38" s="377"/>
      <c r="L38" s="377"/>
      <c r="M38" s="377"/>
      <c r="N38" s="377"/>
      <c r="O38" s="377"/>
      <c r="P38" s="377"/>
    </row>
    <row r="39" spans="1:29" ht="12.95" customHeight="1">
      <c r="A39" s="940" t="s">
        <v>70</v>
      </c>
      <c r="B39" s="991"/>
      <c r="C39" s="992"/>
      <c r="D39" s="957" t="s">
        <v>350</v>
      </c>
      <c r="E39" s="958"/>
      <c r="F39" s="957" t="s">
        <v>351</v>
      </c>
      <c r="G39" s="963"/>
      <c r="H39" s="957" t="s">
        <v>258</v>
      </c>
      <c r="I39" s="963"/>
      <c r="J39" s="957" t="s">
        <v>259</v>
      </c>
      <c r="K39" s="963"/>
      <c r="L39" s="957" t="s">
        <v>352</v>
      </c>
      <c r="M39" s="963"/>
      <c r="N39" s="976" t="s">
        <v>353</v>
      </c>
      <c r="O39" s="675"/>
      <c r="P39" s="676" t="s">
        <v>354</v>
      </c>
    </row>
    <row r="40" spans="1:29" ht="12.95" customHeight="1">
      <c r="A40" s="993"/>
      <c r="B40" s="994"/>
      <c r="C40" s="995"/>
      <c r="D40" s="959"/>
      <c r="E40" s="960"/>
      <c r="F40" s="959"/>
      <c r="G40" s="964"/>
      <c r="H40" s="959"/>
      <c r="I40" s="964"/>
      <c r="J40" s="959"/>
      <c r="K40" s="964"/>
      <c r="L40" s="959"/>
      <c r="M40" s="964"/>
      <c r="N40" s="977"/>
      <c r="O40" s="675"/>
      <c r="P40" s="677" t="s">
        <v>355</v>
      </c>
      <c r="Q40" s="677" t="s">
        <v>356</v>
      </c>
      <c r="R40" s="677" t="s">
        <v>357</v>
      </c>
      <c r="S40" s="677" t="s">
        <v>358</v>
      </c>
      <c r="T40" s="678" t="s">
        <v>116</v>
      </c>
      <c r="X40" s="589"/>
    </row>
    <row r="41" spans="1:29" ht="12.95" customHeight="1" thickBot="1">
      <c r="A41" s="941"/>
      <c r="B41" s="996"/>
      <c r="C41" s="997"/>
      <c r="D41" s="961"/>
      <c r="E41" s="962"/>
      <c r="F41" s="961"/>
      <c r="G41" s="965"/>
      <c r="H41" s="961"/>
      <c r="I41" s="965"/>
      <c r="J41" s="961"/>
      <c r="K41" s="965"/>
      <c r="L41" s="961"/>
      <c r="M41" s="965"/>
      <c r="N41" s="978"/>
      <c r="O41" s="679"/>
      <c r="P41" s="680" t="str">
        <f>A50</f>
        <v>비교1안(PCC Slab 46cm)</v>
      </c>
      <c r="Q41" s="681">
        <f>J50</f>
        <v>1</v>
      </c>
      <c r="R41" s="682">
        <f>H50</f>
        <v>100</v>
      </c>
      <c r="S41" s="682">
        <f>R41/H42</f>
        <v>89.605734767025083</v>
      </c>
      <c r="T41" s="683">
        <f>'5c-Life Cycle Cost (1)'!H37</f>
        <v>1796.3898624440087</v>
      </c>
      <c r="X41" s="684"/>
      <c r="Y41" s="684"/>
      <c r="Z41" s="684"/>
      <c r="AA41" s="684"/>
      <c r="AB41" s="684"/>
      <c r="AC41" s="684"/>
    </row>
    <row r="42" spans="1:29" ht="15" customHeight="1">
      <c r="A42" s="968" t="s">
        <v>71</v>
      </c>
      <c r="B42" s="969"/>
      <c r="C42" s="969"/>
      <c r="D42" s="970">
        <f>+N6+N10+N14+N18+N22+N26+N30+N34</f>
        <v>500</v>
      </c>
      <c r="E42" s="971"/>
      <c r="F42" s="972"/>
      <c r="G42" s="973"/>
      <c r="H42" s="974">
        <f>ROUND(T41/MIN($T$41:$T$42),3)</f>
        <v>1.1160000000000001</v>
      </c>
      <c r="I42" s="975"/>
      <c r="J42" s="979"/>
      <c r="K42" s="980"/>
      <c r="L42" s="981">
        <f>D42/H42</f>
        <v>448.0286738351254</v>
      </c>
      <c r="M42" s="982"/>
      <c r="N42" s="685"/>
      <c r="O42" s="377"/>
      <c r="P42" s="680" t="str">
        <f>A51</f>
        <v>비교2안(PCC Slab 50cm)</v>
      </c>
      <c r="Q42" s="681">
        <f>J51</f>
        <v>0.89635395240270943</v>
      </c>
      <c r="R42" s="682">
        <f>H51</f>
        <v>115</v>
      </c>
      <c r="S42" s="682">
        <f>R42/H43</f>
        <v>115</v>
      </c>
      <c r="T42" s="683">
        <f>'5c-Life Cycle Cost (1)'!I37</f>
        <v>1610.2011532578467</v>
      </c>
      <c r="X42" s="686"/>
      <c r="Y42" s="606"/>
      <c r="Z42" s="606"/>
      <c r="AA42" s="687"/>
      <c r="AB42" s="606"/>
      <c r="AC42" s="606"/>
    </row>
    <row r="43" spans="1:29" ht="15" customHeight="1">
      <c r="A43" s="983" t="s">
        <v>254</v>
      </c>
      <c r="B43" s="984"/>
      <c r="C43" s="984"/>
      <c r="D43" s="985">
        <f>+N7+N11+N15+N19+N23+N27+N31+N35</f>
        <v>574.79999999999995</v>
      </c>
      <c r="E43" s="986"/>
      <c r="F43" s="987">
        <f>(D43-D$42)/D42</f>
        <v>0.1495999999999999</v>
      </c>
      <c r="G43" s="988"/>
      <c r="H43" s="989">
        <f>ROUND(T42/MIN($T$41:$T$42),3)</f>
        <v>1</v>
      </c>
      <c r="I43" s="990"/>
      <c r="J43" s="987">
        <f>(H$42-H43)/H$42</f>
        <v>0.10394265232974918</v>
      </c>
      <c r="K43" s="988"/>
      <c r="L43" s="966">
        <f>D43/H43</f>
        <v>574.79999999999995</v>
      </c>
      <c r="M43" s="967"/>
      <c r="N43" s="688">
        <f>(L43-$L$42)/L42</f>
        <v>0.28295360000000003</v>
      </c>
      <c r="O43" s="689"/>
      <c r="P43" s="690" t="str">
        <f>A52</f>
        <v/>
      </c>
      <c r="Q43" s="681">
        <f>J52</f>
        <v>0</v>
      </c>
      <c r="R43" s="682">
        <f>H52</f>
        <v>0</v>
      </c>
      <c r="S43" s="682" t="e">
        <f>R43/H44</f>
        <v>#DIV/0!</v>
      </c>
      <c r="T43" s="683">
        <f>'5d-Life Cycle Cost (2)'!H37</f>
        <v>0</v>
      </c>
      <c r="X43" s="686"/>
      <c r="Y43" s="606"/>
      <c r="Z43" s="606"/>
      <c r="AA43" s="687"/>
      <c r="AB43" s="606"/>
      <c r="AC43" s="606"/>
    </row>
    <row r="44" spans="1:29" ht="15" customHeight="1">
      <c r="A44" s="983" t="s">
        <v>255</v>
      </c>
      <c r="B44" s="984"/>
      <c r="C44" s="984"/>
      <c r="D44" s="985">
        <f>+N8+N12+N16+N20+N24+N28+N32+N36</f>
        <v>0</v>
      </c>
      <c r="E44" s="986"/>
      <c r="F44" s="987">
        <f>(D44-D$42)/D$42</f>
        <v>-1</v>
      </c>
      <c r="G44" s="988"/>
      <c r="H44" s="989" t="e">
        <f>ROUND(T43/MIN($T$41:$T$44),3)</f>
        <v>#DIV/0!</v>
      </c>
      <c r="I44" s="990"/>
      <c r="J44" s="987" t="e">
        <f>(H$42-H44)/H$42</f>
        <v>#DIV/0!</v>
      </c>
      <c r="K44" s="988"/>
      <c r="L44" s="966" t="e">
        <f>D44/H44</f>
        <v>#DIV/0!</v>
      </c>
      <c r="M44" s="967"/>
      <c r="N44" s="688" t="e">
        <f>(L44-$L$42)/L42</f>
        <v>#DIV/0!</v>
      </c>
      <c r="O44" s="689"/>
      <c r="P44" s="690" t="str">
        <f>A53</f>
        <v/>
      </c>
      <c r="Q44" s="681">
        <f>J53</f>
        <v>0</v>
      </c>
      <c r="R44" s="682">
        <f>H53</f>
        <v>0</v>
      </c>
      <c r="S44" s="682" t="e">
        <f>L45/10</f>
        <v>#DIV/0!</v>
      </c>
      <c r="T44" s="691">
        <f>'5d-Life Cycle Cost (2)'!I37</f>
        <v>0</v>
      </c>
      <c r="X44" s="686"/>
      <c r="Y44" s="606"/>
      <c r="Z44" s="606"/>
      <c r="AA44" s="687"/>
      <c r="AB44" s="606"/>
      <c r="AC44" s="606"/>
    </row>
    <row r="45" spans="1:29" ht="15" customHeight="1" thickBot="1">
      <c r="A45" s="1008" t="s">
        <v>256</v>
      </c>
      <c r="B45" s="1009"/>
      <c r="C45" s="1009"/>
      <c r="D45" s="1010">
        <f>+N9+N13+N17+N21+N25+N29+N33+N37</f>
        <v>0</v>
      </c>
      <c r="E45" s="1011"/>
      <c r="F45" s="1012">
        <f>(D45-D$42)/D$42</f>
        <v>-1</v>
      </c>
      <c r="G45" s="1013"/>
      <c r="H45" s="1003" t="e">
        <f>ROUND(T44/MIN($T$41:$T$44),3)</f>
        <v>#DIV/0!</v>
      </c>
      <c r="I45" s="1004"/>
      <c r="J45" s="999" t="e">
        <f>(H$42-H45)/H$42</f>
        <v>#DIV/0!</v>
      </c>
      <c r="K45" s="1000"/>
      <c r="L45" s="1001" t="e">
        <f>D45/H45</f>
        <v>#DIV/0!</v>
      </c>
      <c r="M45" s="1002"/>
      <c r="N45" s="692" t="e">
        <f>(L45-$L$42)/L42</f>
        <v>#DIV/0!</v>
      </c>
      <c r="O45" s="693"/>
      <c r="P45" s="693"/>
      <c r="S45" s="694"/>
      <c r="T45" s="695"/>
      <c r="X45" s="686"/>
      <c r="Y45" s="606"/>
      <c r="Z45" s="606"/>
      <c r="AA45" s="687"/>
      <c r="AB45" s="606"/>
      <c r="AC45" s="606"/>
    </row>
    <row r="46" spans="1:29" ht="8.25" customHeight="1" thickBot="1">
      <c r="A46" s="1005"/>
      <c r="B46" s="1005"/>
      <c r="C46" s="1005"/>
      <c r="D46" s="1006"/>
      <c r="E46" s="1006"/>
      <c r="F46" s="1007"/>
      <c r="G46" s="1007"/>
      <c r="H46" s="998"/>
      <c r="I46" s="998"/>
      <c r="J46" s="1007"/>
      <c r="K46" s="1007"/>
      <c r="L46" s="998"/>
      <c r="M46" s="998"/>
      <c r="N46" s="696"/>
      <c r="O46" s="693"/>
      <c r="P46" s="693"/>
      <c r="S46" s="694"/>
      <c r="V46" s="606"/>
    </row>
    <row r="47" spans="1:29" ht="12.95" customHeight="1">
      <c r="A47" s="940" t="s">
        <v>257</v>
      </c>
      <c r="B47" s="991"/>
      <c r="C47" s="992"/>
      <c r="D47" s="957" t="s">
        <v>359</v>
      </c>
      <c r="E47" s="1027"/>
      <c r="F47" s="1032" t="s">
        <v>360</v>
      </c>
      <c r="G47" s="1033"/>
      <c r="H47" s="1032" t="s">
        <v>361</v>
      </c>
      <c r="I47" s="1033"/>
      <c r="J47" s="957" t="s">
        <v>362</v>
      </c>
      <c r="K47" s="1027"/>
      <c r="L47" s="957" t="s">
        <v>399</v>
      </c>
      <c r="M47" s="1027"/>
      <c r="N47" s="948" t="s">
        <v>363</v>
      </c>
      <c r="V47" s="606"/>
    </row>
    <row r="48" spans="1:29" ht="12.95" customHeight="1">
      <c r="A48" s="993"/>
      <c r="B48" s="994"/>
      <c r="C48" s="995"/>
      <c r="D48" s="1028"/>
      <c r="E48" s="1029"/>
      <c r="F48" s="1034"/>
      <c r="G48" s="1035"/>
      <c r="H48" s="1034"/>
      <c r="I48" s="1035"/>
      <c r="J48" s="1028"/>
      <c r="K48" s="1029"/>
      <c r="L48" s="1028"/>
      <c r="M48" s="1029"/>
      <c r="N48" s="1014"/>
    </row>
    <row r="49" spans="1:14" ht="12.95" customHeight="1" thickBot="1">
      <c r="A49" s="941"/>
      <c r="B49" s="996"/>
      <c r="C49" s="997"/>
      <c r="D49" s="1030"/>
      <c r="E49" s="1031"/>
      <c r="F49" s="1036"/>
      <c r="G49" s="1037"/>
      <c r="H49" s="1036"/>
      <c r="I49" s="1037"/>
      <c r="J49" s="1030"/>
      <c r="K49" s="1031"/>
      <c r="L49" s="1030"/>
      <c r="M49" s="1031"/>
      <c r="N49" s="1015"/>
    </row>
    <row r="50" spans="1:14" ht="15" customHeight="1">
      <c r="A50" s="1016" t="str">
        <f>IF('4a-Rating Rationale (1)'!D2="","",'4a-Rating Rationale (1)'!D2)</f>
        <v>비교1안(PCC Slab 46cm)</v>
      </c>
      <c r="B50" s="1017"/>
      <c r="C50" s="1018"/>
      <c r="D50" s="1019">
        <f>D42</f>
        <v>500</v>
      </c>
      <c r="E50" s="1020"/>
      <c r="F50" s="1021">
        <v>0.2</v>
      </c>
      <c r="G50" s="1022"/>
      <c r="H50" s="1023">
        <f>ROUND(D50*F50,1)</f>
        <v>100</v>
      </c>
      <c r="I50" s="1024"/>
      <c r="J50" s="1025">
        <f>T41/$T$41</f>
        <v>1</v>
      </c>
      <c r="K50" s="1026"/>
      <c r="L50" s="1019">
        <f>ROUND(H50/J50,1)</f>
        <v>100</v>
      </c>
      <c r="M50" s="1020"/>
      <c r="N50" s="727"/>
    </row>
    <row r="51" spans="1:14" ht="15" customHeight="1">
      <c r="A51" s="1048" t="str">
        <f>IF('4b-Rating Rationale (2)'!D2="","",'4b-Rating Rationale (2)'!D2)</f>
        <v>비교2안(PCC Slab 50cm)</v>
      </c>
      <c r="B51" s="1049"/>
      <c r="C51" s="1050"/>
      <c r="D51" s="1038">
        <f>D43</f>
        <v>574.79999999999995</v>
      </c>
      <c r="E51" s="1039"/>
      <c r="F51" s="1051">
        <f>F50</f>
        <v>0.2</v>
      </c>
      <c r="G51" s="1052"/>
      <c r="H51" s="1053">
        <f>ROUND(D51*F51,1)</f>
        <v>115</v>
      </c>
      <c r="I51" s="1054"/>
      <c r="J51" s="1055">
        <f>T42/$T$41</f>
        <v>0.89635395240270943</v>
      </c>
      <c r="K51" s="1056"/>
      <c r="L51" s="1038">
        <f>ROUND(H51/J51,1)</f>
        <v>128.30000000000001</v>
      </c>
      <c r="M51" s="1039"/>
      <c r="N51" s="728" t="s">
        <v>391</v>
      </c>
    </row>
    <row r="52" spans="1:14" ht="15" customHeight="1">
      <c r="A52" s="1040" t="str">
        <f>IF('4c-Rating Rationale (3)'!D2="","",'4c-Rating Rationale (3)'!D2)</f>
        <v/>
      </c>
      <c r="B52" s="1041"/>
      <c r="C52" s="1042"/>
      <c r="D52" s="985"/>
      <c r="E52" s="1043"/>
      <c r="F52" s="1044"/>
      <c r="G52" s="1045"/>
      <c r="H52" s="1046"/>
      <c r="I52" s="1047"/>
      <c r="J52" s="989"/>
      <c r="K52" s="990"/>
      <c r="L52" s="985"/>
      <c r="M52" s="1043"/>
      <c r="N52" s="688"/>
    </row>
    <row r="53" spans="1:14" ht="15" customHeight="1" thickBot="1">
      <c r="A53" s="1059" t="str">
        <f>IF('4d-Rating Rationale (4)'!D2="","",'4d-Rating Rationale (4)'!D2)</f>
        <v/>
      </c>
      <c r="B53" s="1060"/>
      <c r="C53" s="1061"/>
      <c r="D53" s="1010"/>
      <c r="E53" s="1057"/>
      <c r="F53" s="1062"/>
      <c r="G53" s="1063"/>
      <c r="H53" s="1064"/>
      <c r="I53" s="1065"/>
      <c r="J53" s="1003"/>
      <c r="K53" s="1004"/>
      <c r="L53" s="1010"/>
      <c r="M53" s="1057"/>
      <c r="N53" s="692"/>
    </row>
    <row r="54" spans="1:14">
      <c r="A54" s="1005"/>
      <c r="B54" s="1005"/>
      <c r="C54" s="1005"/>
      <c r="D54" s="1006"/>
      <c r="E54" s="1006"/>
      <c r="F54" s="1058"/>
      <c r="G54" s="1058"/>
      <c r="H54" s="998"/>
      <c r="I54" s="998"/>
      <c r="J54" s="1007"/>
      <c r="K54" s="1007"/>
      <c r="L54" s="998"/>
      <c r="M54" s="998"/>
      <c r="N54" s="696"/>
    </row>
  </sheetData>
  <mergeCells count="151">
    <mergeCell ref="L53:M53"/>
    <mergeCell ref="A54:C54"/>
    <mergeCell ref="D54:E54"/>
    <mergeCell ref="F54:G54"/>
    <mergeCell ref="H54:I54"/>
    <mergeCell ref="J54:K54"/>
    <mergeCell ref="L54:M54"/>
    <mergeCell ref="A53:C53"/>
    <mergeCell ref="D53:E53"/>
    <mergeCell ref="F53:G53"/>
    <mergeCell ref="H53:I53"/>
    <mergeCell ref="J53:K53"/>
    <mergeCell ref="L51:M51"/>
    <mergeCell ref="A52:C52"/>
    <mergeCell ref="D52:E52"/>
    <mergeCell ref="F52:G52"/>
    <mergeCell ref="H52:I52"/>
    <mergeCell ref="J52:K52"/>
    <mergeCell ref="L52:M52"/>
    <mergeCell ref="A51:C51"/>
    <mergeCell ref="D51:E51"/>
    <mergeCell ref="F51:G51"/>
    <mergeCell ref="H51:I51"/>
    <mergeCell ref="J51:K51"/>
    <mergeCell ref="N47:N49"/>
    <mergeCell ref="A50:C50"/>
    <mergeCell ref="D50:E50"/>
    <mergeCell ref="F50:G50"/>
    <mergeCell ref="H50:I50"/>
    <mergeCell ref="J50:K50"/>
    <mergeCell ref="L50:M50"/>
    <mergeCell ref="A47:C49"/>
    <mergeCell ref="D47:E49"/>
    <mergeCell ref="F47:G49"/>
    <mergeCell ref="H47:I49"/>
    <mergeCell ref="J47:K49"/>
    <mergeCell ref="L47:M49"/>
    <mergeCell ref="L46:M46"/>
    <mergeCell ref="J45:K45"/>
    <mergeCell ref="L45:M45"/>
    <mergeCell ref="H44:I44"/>
    <mergeCell ref="J44:K44"/>
    <mergeCell ref="L44:M44"/>
    <mergeCell ref="H45:I45"/>
    <mergeCell ref="A46:C46"/>
    <mergeCell ref="D46:E46"/>
    <mergeCell ref="F46:G46"/>
    <mergeCell ref="H46:I46"/>
    <mergeCell ref="J46:K46"/>
    <mergeCell ref="A45:C45"/>
    <mergeCell ref="D45:E45"/>
    <mergeCell ref="F45:G45"/>
    <mergeCell ref="N39:N41"/>
    <mergeCell ref="J42:K42"/>
    <mergeCell ref="L42:M42"/>
    <mergeCell ref="J39:K41"/>
    <mergeCell ref="A44:C44"/>
    <mergeCell ref="D44:E44"/>
    <mergeCell ref="F44:G44"/>
    <mergeCell ref="L39:M41"/>
    <mergeCell ref="A43:C43"/>
    <mergeCell ref="D43:E43"/>
    <mergeCell ref="F43:G43"/>
    <mergeCell ref="H43:I43"/>
    <mergeCell ref="J43:K43"/>
    <mergeCell ref="A39:C41"/>
    <mergeCell ref="H39:I41"/>
    <mergeCell ref="A30:A33"/>
    <mergeCell ref="B30:B33"/>
    <mergeCell ref="A34:A37"/>
    <mergeCell ref="B34:B37"/>
    <mergeCell ref="D39:E41"/>
    <mergeCell ref="F39:G41"/>
    <mergeCell ref="L43:M43"/>
    <mergeCell ref="A42:C42"/>
    <mergeCell ref="D42:E42"/>
    <mergeCell ref="F42:G42"/>
    <mergeCell ref="H42:I42"/>
    <mergeCell ref="A10:A13"/>
    <mergeCell ref="B10:B13"/>
    <mergeCell ref="A22:A25"/>
    <mergeCell ref="B22:B25"/>
    <mergeCell ref="A26:A29"/>
    <mergeCell ref="B26:B29"/>
    <mergeCell ref="A14:A17"/>
    <mergeCell ref="B14:B17"/>
    <mergeCell ref="A18:A21"/>
    <mergeCell ref="B18:B21"/>
    <mergeCell ref="A1:N1"/>
    <mergeCell ref="A3:N3"/>
    <mergeCell ref="A4:A5"/>
    <mergeCell ref="B4:B5"/>
    <mergeCell ref="C4:C5"/>
    <mergeCell ref="D4:M4"/>
    <mergeCell ref="N4:N5"/>
    <mergeCell ref="A6:A9"/>
    <mergeCell ref="B6:B9"/>
    <mergeCell ref="AE5:AG5"/>
    <mergeCell ref="AH5:AJ5"/>
    <mergeCell ref="X5:X6"/>
    <mergeCell ref="Y21:AA21"/>
    <mergeCell ref="Y22:AA22"/>
    <mergeCell ref="AH21:AJ21"/>
    <mergeCell ref="AH22:AJ22"/>
    <mergeCell ref="AE16:AG16"/>
    <mergeCell ref="AE17:AG17"/>
    <mergeCell ref="AE18:AG18"/>
    <mergeCell ref="AE19:AG19"/>
    <mergeCell ref="AE20:AG20"/>
    <mergeCell ref="AE21:AG21"/>
    <mergeCell ref="AH16:AJ16"/>
    <mergeCell ref="AH17:AJ17"/>
    <mergeCell ref="AH18:AJ18"/>
    <mergeCell ref="AH19:AJ19"/>
    <mergeCell ref="AH20:AJ20"/>
    <mergeCell ref="V5:W6"/>
    <mergeCell ref="Y5:AA5"/>
    <mergeCell ref="AB5:AD5"/>
    <mergeCell ref="V7:V15"/>
    <mergeCell ref="V21:V24"/>
    <mergeCell ref="V16:V20"/>
    <mergeCell ref="W16:X16"/>
    <mergeCell ref="W17:X17"/>
    <mergeCell ref="W18:X18"/>
    <mergeCell ref="W19:X19"/>
    <mergeCell ref="W20:X20"/>
    <mergeCell ref="W21:X21"/>
    <mergeCell ref="W22:X22"/>
    <mergeCell ref="W23:X23"/>
    <mergeCell ref="W24:X24"/>
    <mergeCell ref="Y23:AA23"/>
    <mergeCell ref="AH23:AJ23"/>
    <mergeCell ref="AH24:AJ24"/>
    <mergeCell ref="AE22:AG22"/>
    <mergeCell ref="AE23:AG23"/>
    <mergeCell ref="AE24:AG24"/>
    <mergeCell ref="Y24:AA24"/>
    <mergeCell ref="AB16:AD16"/>
    <mergeCell ref="AB17:AD17"/>
    <mergeCell ref="AB18:AD18"/>
    <mergeCell ref="AB19:AD19"/>
    <mergeCell ref="AB20:AD20"/>
    <mergeCell ref="AB21:AD21"/>
    <mergeCell ref="AB22:AD22"/>
    <mergeCell ref="AB23:AD23"/>
    <mergeCell ref="AB24:AD24"/>
    <mergeCell ref="Y16:AA16"/>
    <mergeCell ref="Y17:AA17"/>
    <mergeCell ref="Y18:AA18"/>
    <mergeCell ref="Y19:AA19"/>
    <mergeCell ref="Y20:AA20"/>
  </mergeCells>
  <phoneticPr fontId="2" type="noConversion"/>
  <conditionalFormatting sqref="D34:M34 D30:M30 D26:M26 D22:M22 D18:M18 D14:M14 D10:M10 D6:M6">
    <cfRule type="cellIs" dxfId="3" priority="1" stopIfTrue="1" operator="notEqual">
      <formula>""</formula>
    </cfRule>
  </conditionalFormatting>
  <conditionalFormatting sqref="D35:M35 D31:M31 D27:M27 D23:M23 D19:M19 D15:M15 D11:M11 D7:M7">
    <cfRule type="cellIs" dxfId="2" priority="2" stopIfTrue="1" operator="notEqual">
      <formula>""</formula>
    </cfRule>
  </conditionalFormatting>
  <conditionalFormatting sqref="D36:M36 D32:M32 D28:M28 D24:M24 D20:M20 D16:M16 D12:M12 D8:M8">
    <cfRule type="cellIs" dxfId="1" priority="3" stopIfTrue="1" operator="notEqual">
      <formula>""</formula>
    </cfRule>
  </conditionalFormatting>
  <conditionalFormatting sqref="D37:M37 D33:M33 D29:M29 D25:M25 D21:M21 D17:M17 D13:M13 D9:M9">
    <cfRule type="cellIs" dxfId="0" priority="4" stopIfTrue="1" operator="notEqual">
      <formula>""</formula>
    </cfRule>
  </conditionalFormatting>
  <pageMargins left="0.78740157480314965" right="0.78740157480314965" top="1.1811023622047245" bottom="0.78740157480314965" header="0.94488188976377963" footer="0.55118110236220474"/>
  <pageSetup paperSize="9" scale="99" orientation="portrait" r:id="rId1"/>
  <headerFooter alignWithMargins="0">
    <oddHeader>&amp;C&amp;"Book Antiqua,보통"&amp;10PUERTO PRINCESA AIRPORT DEVELOPMENT PROJECT</oddHeader>
    <oddFooter>&amp;C&amp;"Times New Roman,보통"&amp;A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41"/>
  <sheetViews>
    <sheetView view="pageBreakPreview" zoomScale="115" zoomScaleNormal="100" zoomScaleSheetLayoutView="115" workbookViewId="0">
      <selection activeCell="E9" sqref="E9"/>
    </sheetView>
  </sheetViews>
  <sheetFormatPr defaultRowHeight="13.5"/>
  <cols>
    <col min="1" max="1" width="3.109375" customWidth="1"/>
    <col min="2" max="2" width="5.77734375" customWidth="1"/>
    <col min="3" max="4" width="7.21875" customWidth="1"/>
    <col min="5" max="5" width="3.33203125" customWidth="1"/>
    <col min="6" max="6" width="6.77734375" customWidth="1"/>
    <col min="7" max="7" width="7.21875" customWidth="1"/>
    <col min="8" max="8" width="6.21875" customWidth="1"/>
    <col min="9" max="9" width="3.33203125" customWidth="1"/>
    <col min="10" max="10" width="5.33203125" customWidth="1"/>
    <col min="11" max="11" width="3.33203125" customWidth="1"/>
    <col min="12" max="12" width="5.33203125" customWidth="1"/>
    <col min="13" max="13" width="10" customWidth="1"/>
  </cols>
  <sheetData>
    <row r="1" spans="1:13" s="33" customFormat="1" ht="30" customHeight="1">
      <c r="A1" s="749" t="s">
        <v>266</v>
      </c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50"/>
    </row>
    <row r="2" spans="1:13" s="33" customFormat="1" ht="20.100000000000001" customHeight="1">
      <c r="A2" s="1066" t="s">
        <v>300</v>
      </c>
      <c r="B2" s="1067"/>
      <c r="C2" s="1067"/>
      <c r="D2" s="1067"/>
      <c r="E2" s="1067"/>
      <c r="F2" s="1067"/>
      <c r="G2" s="1067"/>
      <c r="H2" s="1067"/>
      <c r="I2" s="345"/>
      <c r="J2" s="345"/>
      <c r="K2" s="345"/>
      <c r="L2" s="345"/>
      <c r="M2" s="346"/>
    </row>
    <row r="3" spans="1:13" s="37" customFormat="1" ht="20.100000000000001" customHeight="1">
      <c r="A3" s="778" t="s">
        <v>291</v>
      </c>
      <c r="B3" s="1068"/>
      <c r="C3" s="1086" t="s">
        <v>316</v>
      </c>
      <c r="D3" s="1087"/>
      <c r="E3" s="1087"/>
      <c r="F3" s="1087"/>
      <c r="G3" s="1087"/>
      <c r="H3" s="1087"/>
      <c r="I3" s="1087"/>
      <c r="J3" s="1087"/>
      <c r="K3" s="1087"/>
      <c r="L3" s="1087"/>
      <c r="M3" s="1088"/>
    </row>
    <row r="4" spans="1:13" s="37" customFormat="1" ht="20.100000000000001" customHeight="1">
      <c r="A4" s="778" t="s">
        <v>267</v>
      </c>
      <c r="B4" s="1068"/>
      <c r="C4" s="1086" t="s">
        <v>317</v>
      </c>
      <c r="D4" s="1087"/>
      <c r="E4" s="1087"/>
      <c r="F4" s="1087"/>
      <c r="G4" s="1087"/>
      <c r="H4" s="1087"/>
      <c r="I4" s="1087"/>
      <c r="J4" s="1087"/>
      <c r="K4" s="1087"/>
      <c r="L4" s="1087"/>
      <c r="M4" s="1088"/>
    </row>
    <row r="5" spans="1:13" s="37" customFormat="1" ht="20.100000000000001" customHeight="1">
      <c r="A5" s="1091" t="s">
        <v>268</v>
      </c>
      <c r="B5" s="1092"/>
      <c r="C5" s="1069" t="s">
        <v>269</v>
      </c>
      <c r="D5" s="1069"/>
      <c r="E5" s="1069"/>
      <c r="F5" s="1069"/>
      <c r="G5" s="1069"/>
      <c r="H5" s="1069" t="s">
        <v>270</v>
      </c>
      <c r="I5" s="1069"/>
      <c r="J5" s="1069"/>
      <c r="K5" s="1069"/>
      <c r="L5" s="1070"/>
      <c r="M5" s="1071"/>
    </row>
    <row r="6" spans="1:13" s="37" customFormat="1" ht="18" customHeight="1">
      <c r="A6" s="1093"/>
      <c r="B6" s="1094"/>
      <c r="C6" s="334"/>
      <c r="D6" s="279"/>
      <c r="E6" s="279"/>
      <c r="F6" s="279"/>
      <c r="G6" s="335"/>
      <c r="H6" s="334"/>
      <c r="I6" s="279"/>
      <c r="J6" s="279"/>
      <c r="K6" s="279"/>
      <c r="L6" s="279"/>
      <c r="M6" s="336"/>
    </row>
    <row r="7" spans="1:13" s="37" customFormat="1" ht="18" customHeight="1">
      <c r="A7" s="1093"/>
      <c r="B7" s="1094"/>
      <c r="C7" s="337"/>
      <c r="G7" s="338"/>
      <c r="H7" s="337"/>
      <c r="M7" s="100"/>
    </row>
    <row r="8" spans="1:13" s="37" customFormat="1" ht="18" customHeight="1">
      <c r="A8" s="1093"/>
      <c r="B8" s="1094"/>
      <c r="C8" s="337"/>
      <c r="G8" s="338"/>
      <c r="H8" s="337"/>
      <c r="M8" s="100"/>
    </row>
    <row r="9" spans="1:13" s="37" customFormat="1" ht="18" customHeight="1">
      <c r="A9" s="1093"/>
      <c r="B9" s="1094"/>
      <c r="C9" s="337"/>
      <c r="G9" s="338"/>
      <c r="H9" s="337"/>
      <c r="M9" s="100"/>
    </row>
    <row r="10" spans="1:13" s="37" customFormat="1" ht="18" customHeight="1">
      <c r="A10" s="1093"/>
      <c r="B10" s="1094"/>
      <c r="C10" s="337"/>
      <c r="G10" s="338"/>
      <c r="H10" s="337"/>
      <c r="M10" s="100"/>
    </row>
    <row r="11" spans="1:13" s="37" customFormat="1" ht="18" customHeight="1">
      <c r="A11" s="1093"/>
      <c r="B11" s="1094"/>
      <c r="C11" s="337"/>
      <c r="G11" s="338"/>
      <c r="H11" s="337"/>
      <c r="M11" s="100"/>
    </row>
    <row r="12" spans="1:13" s="37" customFormat="1" ht="18" customHeight="1">
      <c r="A12" s="1093"/>
      <c r="B12" s="1094"/>
      <c r="C12" s="337"/>
      <c r="G12" s="338"/>
      <c r="H12" s="337"/>
      <c r="M12" s="100"/>
    </row>
    <row r="13" spans="1:13" s="37" customFormat="1" ht="18" customHeight="1">
      <c r="A13" s="1093"/>
      <c r="B13" s="1094"/>
      <c r="C13" s="337"/>
      <c r="G13" s="338"/>
      <c r="H13" s="337"/>
      <c r="M13" s="100"/>
    </row>
    <row r="14" spans="1:13" s="37" customFormat="1" ht="18" customHeight="1">
      <c r="A14" s="1095"/>
      <c r="B14" s="1096"/>
      <c r="C14" s="339"/>
      <c r="D14" s="340"/>
      <c r="E14" s="340"/>
      <c r="F14" s="340"/>
      <c r="G14" s="341"/>
      <c r="H14" s="339"/>
      <c r="I14" s="340"/>
      <c r="J14" s="340"/>
      <c r="K14" s="340"/>
      <c r="L14" s="340"/>
      <c r="M14" s="342"/>
    </row>
    <row r="15" spans="1:13" s="37" customFormat="1" ht="20.100000000000001" customHeight="1">
      <c r="A15" s="1072" t="s">
        <v>271</v>
      </c>
      <c r="C15" s="1069" t="s">
        <v>272</v>
      </c>
      <c r="D15" s="1069"/>
      <c r="E15" s="1069"/>
      <c r="F15" s="1069"/>
      <c r="G15" s="1069"/>
      <c r="H15" s="1069"/>
      <c r="I15" s="1069" t="s">
        <v>273</v>
      </c>
      <c r="J15" s="1069"/>
      <c r="K15" s="1069"/>
      <c r="L15" s="1070"/>
      <c r="M15" s="1071"/>
    </row>
    <row r="16" spans="1:13" s="37" customFormat="1" ht="20.100000000000001" customHeight="1">
      <c r="A16" s="1073"/>
      <c r="C16" s="53" t="s">
        <v>214</v>
      </c>
      <c r="D16" s="53" t="s">
        <v>213</v>
      </c>
      <c r="E16" s="1089" t="s">
        <v>212</v>
      </c>
      <c r="F16" s="1090"/>
      <c r="G16" s="53" t="s">
        <v>211</v>
      </c>
      <c r="H16" s="1074" t="s">
        <v>274</v>
      </c>
      <c r="I16" s="1089" t="s">
        <v>210</v>
      </c>
      <c r="J16" s="1090"/>
      <c r="K16" s="1097" t="s">
        <v>209</v>
      </c>
      <c r="L16" s="1098"/>
      <c r="M16" s="1076" t="s">
        <v>275</v>
      </c>
    </row>
    <row r="17" spans="1:13" s="37" customFormat="1" ht="40.5" customHeight="1">
      <c r="A17" s="1073"/>
      <c r="C17" s="347" t="s">
        <v>276</v>
      </c>
      <c r="D17" s="347" t="s">
        <v>277</v>
      </c>
      <c r="E17" s="1078" t="s">
        <v>278</v>
      </c>
      <c r="F17" s="1079"/>
      <c r="G17" s="347" t="s">
        <v>279</v>
      </c>
      <c r="H17" s="1075"/>
      <c r="I17" s="1078" t="s">
        <v>280</v>
      </c>
      <c r="J17" s="1079"/>
      <c r="K17" s="775" t="s">
        <v>281</v>
      </c>
      <c r="L17" s="797"/>
      <c r="M17" s="1077"/>
    </row>
    <row r="18" spans="1:13" s="37" customFormat="1" ht="39.950000000000003" customHeight="1">
      <c r="A18" s="1073"/>
      <c r="B18" s="56" t="s">
        <v>282</v>
      </c>
      <c r="C18" s="54"/>
      <c r="D18" s="54"/>
      <c r="E18" s="179" t="s">
        <v>260</v>
      </c>
      <c r="F18" s="352"/>
      <c r="G18" s="54"/>
      <c r="H18" s="343"/>
      <c r="I18" s="179" t="s">
        <v>261</v>
      </c>
      <c r="J18" s="353">
        <f>'6b-Value Matrix'!H50</f>
        <v>100</v>
      </c>
      <c r="K18" s="179" t="s">
        <v>262</v>
      </c>
      <c r="L18" s="354">
        <f>'6b-Value Matrix'!L50</f>
        <v>100</v>
      </c>
      <c r="M18" s="344"/>
    </row>
    <row r="19" spans="1:13" s="37" customFormat="1" ht="39.950000000000003" customHeight="1">
      <c r="A19" s="1073"/>
      <c r="B19" s="56" t="s">
        <v>283</v>
      </c>
      <c r="C19" s="54"/>
      <c r="D19" s="54"/>
      <c r="E19" s="179" t="s">
        <v>263</v>
      </c>
      <c r="F19" s="352"/>
      <c r="G19" s="54"/>
      <c r="H19" s="343"/>
      <c r="I19" s="179" t="s">
        <v>264</v>
      </c>
      <c r="J19" s="353">
        <f>'6b-Value Matrix'!L51</f>
        <v>128.30000000000001</v>
      </c>
      <c r="K19" s="179" t="s">
        <v>265</v>
      </c>
      <c r="L19" s="355">
        <f>'6b-Value Matrix'!L51</f>
        <v>128.30000000000001</v>
      </c>
      <c r="M19" s="344"/>
    </row>
    <row r="20" spans="1:13" s="37" customFormat="1" ht="20.100000000000001" customHeight="1">
      <c r="A20" s="1080" t="s">
        <v>284</v>
      </c>
      <c r="B20" s="1092"/>
      <c r="C20" s="1070" t="s">
        <v>285</v>
      </c>
      <c r="D20" s="779"/>
      <c r="E20" s="779"/>
      <c r="F20" s="1068"/>
      <c r="G20" s="1070" t="s">
        <v>286</v>
      </c>
      <c r="H20" s="779"/>
      <c r="I20" s="779"/>
      <c r="J20" s="1068"/>
      <c r="K20" s="1069" t="s">
        <v>287</v>
      </c>
      <c r="L20" s="1070"/>
      <c r="M20" s="1071"/>
    </row>
    <row r="21" spans="1:13" ht="18" customHeight="1">
      <c r="A21" s="1093"/>
      <c r="B21" s="1094"/>
      <c r="C21" s="334"/>
      <c r="D21" s="279"/>
      <c r="E21" s="279"/>
      <c r="F21" s="279"/>
      <c r="G21" s="334"/>
      <c r="H21" s="279"/>
      <c r="I21" s="279"/>
      <c r="J21" s="279"/>
      <c r="K21" s="334"/>
      <c r="L21" s="279"/>
      <c r="M21" s="336"/>
    </row>
    <row r="22" spans="1:13" ht="18" customHeight="1">
      <c r="A22" s="1093"/>
      <c r="B22" s="1094"/>
      <c r="C22" s="337"/>
      <c r="D22" s="37"/>
      <c r="E22" s="37"/>
      <c r="F22" s="37"/>
      <c r="G22" s="337"/>
      <c r="H22" s="37"/>
      <c r="I22" s="37"/>
      <c r="J22" s="37"/>
      <c r="K22" s="337"/>
      <c r="L22" s="37"/>
      <c r="M22" s="100"/>
    </row>
    <row r="23" spans="1:13" ht="18" customHeight="1">
      <c r="A23" s="1093"/>
      <c r="B23" s="1094"/>
      <c r="C23" s="337"/>
      <c r="D23" s="37"/>
      <c r="E23" s="37"/>
      <c r="F23" s="37"/>
      <c r="G23" s="337"/>
      <c r="H23" s="37"/>
      <c r="I23" s="37"/>
      <c r="J23" s="37"/>
      <c r="K23" s="337"/>
      <c r="L23" s="37"/>
      <c r="M23" s="100"/>
    </row>
    <row r="24" spans="1:13" ht="18" customHeight="1">
      <c r="A24" s="1093"/>
      <c r="B24" s="1094"/>
      <c r="C24" s="337"/>
      <c r="D24" s="37"/>
      <c r="E24" s="37"/>
      <c r="F24" s="37"/>
      <c r="G24" s="337"/>
      <c r="H24" s="37"/>
      <c r="I24" s="37"/>
      <c r="J24" s="37"/>
      <c r="K24" s="337"/>
      <c r="L24" s="37"/>
      <c r="M24" s="100"/>
    </row>
    <row r="25" spans="1:13" ht="18" customHeight="1">
      <c r="A25" s="1093"/>
      <c r="B25" s="1094"/>
      <c r="C25" s="337"/>
      <c r="D25" s="37"/>
      <c r="E25" s="37"/>
      <c r="F25" s="37"/>
      <c r="G25" s="337"/>
      <c r="H25" s="37"/>
      <c r="I25" s="37"/>
      <c r="J25" s="37"/>
      <c r="K25" s="337"/>
      <c r="L25" s="37"/>
      <c r="M25" s="100"/>
    </row>
    <row r="26" spans="1:13" ht="18" customHeight="1">
      <c r="A26" s="1093"/>
      <c r="B26" s="1094"/>
      <c r="C26" s="337"/>
      <c r="D26" s="37"/>
      <c r="E26" s="37"/>
      <c r="F26" s="37"/>
      <c r="G26" s="337"/>
      <c r="H26" s="37"/>
      <c r="I26" s="37"/>
      <c r="J26" s="37"/>
      <c r="K26" s="337"/>
      <c r="L26" s="37"/>
      <c r="M26" s="100"/>
    </row>
    <row r="27" spans="1:13" ht="18" customHeight="1">
      <c r="A27" s="1093"/>
      <c r="B27" s="1094"/>
      <c r="C27" s="337"/>
      <c r="D27" s="37"/>
      <c r="E27" s="37"/>
      <c r="F27" s="37"/>
      <c r="G27" s="337"/>
      <c r="H27" s="37"/>
      <c r="I27" s="37"/>
      <c r="J27" s="37"/>
      <c r="K27" s="337"/>
      <c r="L27" s="37"/>
      <c r="M27" s="100"/>
    </row>
    <row r="28" spans="1:13" ht="18" customHeight="1">
      <c r="A28" s="1095"/>
      <c r="B28" s="1096"/>
      <c r="C28" s="339"/>
      <c r="D28" s="340"/>
      <c r="E28" s="340"/>
      <c r="F28" s="340"/>
      <c r="G28" s="339"/>
      <c r="H28" s="340"/>
      <c r="I28" s="340"/>
      <c r="J28" s="340"/>
      <c r="K28" s="339"/>
      <c r="L28" s="340"/>
      <c r="M28" s="342"/>
    </row>
    <row r="29" spans="1:13" ht="18" customHeight="1">
      <c r="A29" s="1080" t="s">
        <v>290</v>
      </c>
      <c r="B29" s="1081"/>
      <c r="C29" s="334"/>
      <c r="D29" s="279"/>
      <c r="E29" s="279"/>
      <c r="F29" s="279"/>
      <c r="G29" s="279"/>
      <c r="H29" s="279"/>
      <c r="I29" s="279"/>
      <c r="J29" s="279"/>
      <c r="K29" s="279"/>
      <c r="L29" s="279"/>
      <c r="M29" s="336"/>
    </row>
    <row r="30" spans="1:13" ht="18" customHeight="1">
      <c r="A30" s="1082"/>
      <c r="B30" s="1083"/>
      <c r="C30" s="337"/>
      <c r="D30" s="37"/>
      <c r="E30" s="37"/>
      <c r="F30" s="37"/>
      <c r="G30" s="37"/>
      <c r="H30" s="37"/>
      <c r="I30" s="37"/>
      <c r="J30" s="37"/>
      <c r="K30" s="37"/>
      <c r="L30" s="37"/>
      <c r="M30" s="100"/>
    </row>
    <row r="31" spans="1:13" ht="20.100000000000001" customHeight="1">
      <c r="A31" s="1084"/>
      <c r="B31" s="1085"/>
      <c r="C31" s="339"/>
      <c r="D31" s="340"/>
      <c r="E31" s="340"/>
      <c r="F31" s="340"/>
      <c r="G31" s="340"/>
      <c r="H31" s="340"/>
      <c r="I31" s="340"/>
      <c r="J31" s="340"/>
      <c r="K31" s="340"/>
      <c r="L31" s="340"/>
      <c r="M31" s="342"/>
    </row>
    <row r="32" spans="1:13" ht="22.5" customHeight="1">
      <c r="A32" s="348" t="s">
        <v>288</v>
      </c>
      <c r="B32" s="279"/>
      <c r="C32" s="279"/>
      <c r="D32" s="279"/>
      <c r="E32" s="279"/>
      <c r="F32" s="279"/>
      <c r="G32" s="279"/>
      <c r="H32" s="279"/>
      <c r="I32" s="279"/>
      <c r="J32" s="279"/>
      <c r="K32" s="279"/>
      <c r="L32" s="279"/>
      <c r="M32" s="336"/>
    </row>
    <row r="33" spans="1:13" ht="21.75" customHeight="1" thickBot="1">
      <c r="A33" s="349" t="s">
        <v>289</v>
      </c>
      <c r="B33" s="350"/>
      <c r="C33" s="350"/>
      <c r="D33" s="350"/>
      <c r="E33" s="350"/>
      <c r="F33" s="350"/>
      <c r="G33" s="350"/>
      <c r="H33" s="350"/>
      <c r="I33" s="350"/>
      <c r="J33" s="350"/>
      <c r="K33" s="350"/>
      <c r="L33" s="350"/>
      <c r="M33" s="351"/>
    </row>
    <row r="34" spans="1:13" ht="20.100000000000001" customHeight="1"/>
    <row r="35" spans="1:13" ht="20.100000000000001" customHeight="1"/>
    <row r="36" spans="1:13" ht="20.100000000000001" customHeight="1"/>
    <row r="37" spans="1:13" ht="20.100000000000001" customHeight="1"/>
    <row r="38" spans="1:13" ht="20.100000000000001" customHeight="1"/>
    <row r="39" spans="1:13" ht="20.100000000000001" customHeight="1"/>
    <row r="40" spans="1:13" ht="20.100000000000001" customHeight="1"/>
    <row r="41" spans="1:13" ht="20.100000000000001" customHeight="1"/>
  </sheetData>
  <mergeCells count="25">
    <mergeCell ref="A29:B31"/>
    <mergeCell ref="A1:M1"/>
    <mergeCell ref="C3:M3"/>
    <mergeCell ref="E16:F16"/>
    <mergeCell ref="E17:F17"/>
    <mergeCell ref="I16:J16"/>
    <mergeCell ref="A4:B4"/>
    <mergeCell ref="C4:M4"/>
    <mergeCell ref="A5:B14"/>
    <mergeCell ref="C5:G5"/>
    <mergeCell ref="C20:F20"/>
    <mergeCell ref="G20:J20"/>
    <mergeCell ref="K16:L16"/>
    <mergeCell ref="K17:L17"/>
    <mergeCell ref="A20:B28"/>
    <mergeCell ref="K20:M20"/>
    <mergeCell ref="A2:H2"/>
    <mergeCell ref="A3:B3"/>
    <mergeCell ref="H5:M5"/>
    <mergeCell ref="A15:A19"/>
    <mergeCell ref="C15:H15"/>
    <mergeCell ref="I15:M15"/>
    <mergeCell ref="H16:H17"/>
    <mergeCell ref="M16:M17"/>
    <mergeCell ref="I17:J17"/>
  </mergeCells>
  <phoneticPr fontId="2" type="noConversion"/>
  <pageMargins left="0.78740157480314965" right="0.78740157480314965" top="1.1811023622047245" bottom="0.78740157480314965" header="0.94488188976377963" footer="0.59055118110236227"/>
  <pageSetup paperSize="9" scale="99" orientation="portrait" r:id="rId1"/>
  <headerFooter>
    <oddHeader>&amp;C&amp;"Book Antiqua,보통"&amp;10PUERTO PRINCESA AIRPORT DEVELOPMENT PROJECT</oddHeader>
    <oddFooter>&amp;C&amp;"Times New Roman,보통"&amp;A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9</vt:i4>
      </vt:variant>
    </vt:vector>
  </HeadingPairs>
  <TitlesOfParts>
    <vt:vector size="36" baseType="lpstr">
      <vt:lpstr>1a-Performance</vt:lpstr>
      <vt:lpstr>1b-Sub-Performance</vt:lpstr>
      <vt:lpstr>2a-Attribute Scales (1)</vt:lpstr>
      <vt:lpstr>2b-Attribute Scales (2)</vt:lpstr>
      <vt:lpstr>2c-Attribute Scales (3)</vt:lpstr>
      <vt:lpstr>2d-Attribute Scales (4)</vt:lpstr>
      <vt:lpstr>2e-Attribute Scales (5)</vt:lpstr>
      <vt:lpstr>3a-Attribute Rating(A)</vt:lpstr>
      <vt:lpstr>3b-Attribute Rating(B)</vt:lpstr>
      <vt:lpstr>3c-PCM#1</vt:lpstr>
      <vt:lpstr>3d-PCM#2</vt:lpstr>
      <vt:lpstr>3e-PCM#3</vt:lpstr>
      <vt:lpstr>3f-PCM#4</vt:lpstr>
      <vt:lpstr>3g-PCM#5</vt:lpstr>
      <vt:lpstr>3h-Qustionnaire</vt:lpstr>
      <vt:lpstr>4a-Rating Rationale (1)</vt:lpstr>
      <vt:lpstr>4b-Rating Rationale (2)</vt:lpstr>
      <vt:lpstr>4c-Rating Rationale (3)</vt:lpstr>
      <vt:lpstr>4d-Rating Rationale (4)</vt:lpstr>
      <vt:lpstr>5a-Initial Cost (1)</vt:lpstr>
      <vt:lpstr>5b-Initial Cost (2)</vt:lpstr>
      <vt:lpstr>5c-Life Cycle Cost (1)</vt:lpstr>
      <vt:lpstr>5d-Life Cycle Cost (2)</vt:lpstr>
      <vt:lpstr>5e-Cost Analysis</vt:lpstr>
      <vt:lpstr>6a-Hierarchy</vt:lpstr>
      <vt:lpstr>6b-Value Matrix</vt:lpstr>
      <vt:lpstr>6c-Proposal</vt:lpstr>
      <vt:lpstr>'1a-Performance'!Print_Area</vt:lpstr>
      <vt:lpstr>'1b-Sub-Performance'!Print_Area</vt:lpstr>
      <vt:lpstr>'3a-Attribute Rating(A)'!Print_Area</vt:lpstr>
      <vt:lpstr>'3h-Qustionnaire'!Print_Area</vt:lpstr>
      <vt:lpstr>'4a-Rating Rationale (1)'!Print_Area</vt:lpstr>
      <vt:lpstr>'5a-Initial Cost (1)'!Print_Area</vt:lpstr>
      <vt:lpstr>'5c-Life Cycle Cost (1)'!Print_Area</vt:lpstr>
      <vt:lpstr>'6b-Value Matrix'!Print_Area</vt:lpstr>
      <vt:lpstr>'1b-Sub-Performance'!Print_Titles</vt:lpstr>
    </vt:vector>
  </TitlesOfParts>
  <Company>KCMC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tincloud</dc:creator>
  <cp:lastModifiedBy>KCMC</cp:lastModifiedBy>
  <cp:lastPrinted>2013-10-18T02:05:54Z</cp:lastPrinted>
  <dcterms:created xsi:type="dcterms:W3CDTF">2004-10-19T04:55:38Z</dcterms:created>
  <dcterms:modified xsi:type="dcterms:W3CDTF">2026-06-19T05:23:15Z</dcterms:modified>
</cp:coreProperties>
</file>